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New folder\"/>
    </mc:Choice>
  </mc:AlternateContent>
  <xr:revisionPtr revIDLastSave="0" documentId="13_ncr:1_{C8A0EB3F-7420-47B2-9ADC-4652AFA17B32}" xr6:coauthVersionLast="47" xr6:coauthVersionMax="47" xr10:uidLastSave="{00000000-0000-0000-0000-000000000000}"/>
  <bookViews>
    <workbookView xWindow="-110" yWindow="-110" windowWidth="19420" windowHeight="10300" activeTab="1" xr2:uid="{00000000-000D-0000-FFFF-FFFF00000000}"/>
  </bookViews>
  <sheets>
    <sheet name="Pivot Table" sheetId="4" r:id="rId1"/>
    <sheet name="Dashboard" sheetId="5" r:id="rId2"/>
    <sheet name="Data" sheetId="1" r:id="rId3"/>
    <sheet name="Q" sheetId="3" r:id="rId4"/>
  </sheets>
  <definedNames>
    <definedName name="Slicer_Category">#N/A</definedName>
    <definedName name="Slicer_Month">#N/A</definedName>
    <definedName name="Slicer_Payment_Mode">#N/A</definedName>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8"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2" i="1"/>
  <c r="A11" i="4"/>
  <c r="A8" i="4"/>
  <c r="A5" i="4"/>
  <c r="A14" i="4"/>
  <c r="A17" i="4"/>
</calcChain>
</file>

<file path=xl/sharedStrings.xml><?xml version="1.0" encoding="utf-8"?>
<sst xmlns="http://schemas.openxmlformats.org/spreadsheetml/2006/main" count="620" uniqueCount="226">
  <si>
    <t>Order_ID</t>
  </si>
  <si>
    <t>Order_Date</t>
  </si>
  <si>
    <t>Customer</t>
  </si>
  <si>
    <t>Product</t>
  </si>
  <si>
    <t>Category</t>
  </si>
  <si>
    <t>Region</t>
  </si>
  <si>
    <t>Quantity</t>
  </si>
  <si>
    <t>Unit_Price</t>
  </si>
  <si>
    <t>Discount_%</t>
  </si>
  <si>
    <t>Payment_Mode</t>
  </si>
  <si>
    <t>Sales</t>
  </si>
  <si>
    <t>Cost</t>
  </si>
  <si>
    <t>Profit</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</si>
  <si>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</si>
  <si>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</si>
  <si>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</si>
  <si>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</si>
  <si>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</si>
  <si>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</si>
  <si>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</si>
  <si>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</si>
  <si>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</si>
  <si>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</si>
  <si>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</si>
  <si>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</si>
  <si>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</si>
  <si>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</si>
  <si>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</si>
  <si>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</si>
  <si>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</si>
  <si>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</si>
  <si>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</si>
  <si>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</si>
  <si>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</si>
  <si>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</si>
  <si>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</si>
  <si>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</si>
  <si>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</si>
  <si>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</si>
  <si>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</si>
  <si>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</si>
  <si>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</si>
  <si>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</si>
  <si>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</si>
  <si>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</si>
  <si>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</si>
  <si>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</si>
  <si>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</si>
  <si>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</si>
  <si>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</si>
  <si>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</si>
  <si>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</si>
  <si>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</si>
  <si>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</si>
  <si>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</si>
  <si>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</si>
  <si>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</si>
  <si>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</si>
  <si>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</si>
  <si>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</si>
  <si>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</si>
  <si>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</si>
  <si>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</si>
  <si>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</si>
  <si>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</si>
  <si>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</si>
  <si>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</si>
  <si>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</si>
  <si>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</si>
  <si>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</si>
  <si>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</si>
  <si>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</si>
  <si>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</si>
  <si>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</si>
  <si>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</si>
  <si>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</si>
  <si>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</si>
  <si>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</si>
  <si>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</si>
  <si>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</si>
  <si>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</si>
  <si>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</si>
  <si>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</si>
  <si>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</si>
  <si>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</si>
  <si>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</si>
  <si>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</si>
  <si>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</si>
  <si>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</si>
  <si>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</si>
  <si>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</si>
  <si>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</si>
  <si>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</si>
  <si>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C1001</t>
  </si>
  <si>
    <t>C1002</t>
  </si>
  <si>
    <t>C1003</t>
  </si>
  <si>
    <t>C1004</t>
  </si>
  <si>
    <t>C1005</t>
  </si>
  <si>
    <t>C1006</t>
  </si>
  <si>
    <t>C1007</t>
  </si>
  <si>
    <t>C1008</t>
  </si>
  <si>
    <t>C1009</t>
  </si>
  <si>
    <t>C1010</t>
  </si>
  <si>
    <t>C1011</t>
  </si>
  <si>
    <t>C1012</t>
  </si>
  <si>
    <t>C1013</t>
  </si>
  <si>
    <t>C1014</t>
  </si>
  <si>
    <t>C1015</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</si>
  <si>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</si>
  <si>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</si>
  <si>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</si>
  <si>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</si>
  <si>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</si>
  <si>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</si>
  <si>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</si>
  <si>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</si>
  <si>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</si>
  <si>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</si>
  <si>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</si>
  <si>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</si>
  <si>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</si>
  <si>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</si>
  <si>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</si>
  <si>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</si>
  <si>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</si>
  <si>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</si>
  <si>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</si>
  <si>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</si>
  <si>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</si>
  <si>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</si>
  <si>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</si>
  <si>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</si>
  <si>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</si>
  <si>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</si>
  <si>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</si>
  <si>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</si>
  <si>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</si>
  <si>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</si>
  <si>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</si>
  <si>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</si>
  <si>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</si>
  <si>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</si>
  <si>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</si>
  <si>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</si>
  <si>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</si>
  <si>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</si>
  <si>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</si>
  <si>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</si>
  <si>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</si>
  <si>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</si>
  <si>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</si>
  <si>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</si>
  <si>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</si>
  <si>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</si>
  <si>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</si>
  <si>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</si>
  <si>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</si>
  <si>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</si>
  <si>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</si>
  <si>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</si>
  <si>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</si>
  <si>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</si>
  <si>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C1072</t>
  </si>
  <si>
    <t>C1073</t>
  </si>
  <si>
    <t>C1074</t>
  </si>
  <si>
    <t>C1075</t>
  </si>
  <si>
    <t>C1076</t>
  </si>
  <si>
    <t>C1077</t>
  </si>
  <si>
    <t>C1078</t>
  </si>
  <si>
    <t>C1079</t>
  </si>
  <si>
    <t>C1080</t>
  </si>
  <si>
    <t>Monitor</t>
  </si>
  <si>
    <t>Headset</t>
  </si>
  <si>
    <t>Keyboard</t>
  </si>
  <si>
    <t>Mouse</t>
  </si>
  <si>
    <t>Laptop</t>
  </si>
  <si>
    <t>Electronics</t>
  </si>
  <si>
    <t>Accessories</t>
  </si>
  <si>
    <t>North</t>
  </si>
  <si>
    <t>East</t>
  </si>
  <si>
    <t>West</t>
  </si>
  <si>
    <t>South</t>
  </si>
  <si>
    <t>Cash</t>
  </si>
  <si>
    <t>UPI</t>
  </si>
  <si>
    <t>Net Banking</t>
  </si>
  <si>
    <t>Card</t>
  </si>
  <si>
    <t>C1016</t>
  </si>
  <si>
    <t>Unknown</t>
  </si>
  <si>
    <t>Month</t>
  </si>
  <si>
    <t>Month No</t>
  </si>
  <si>
    <t>Profit_Margin_%</t>
  </si>
  <si>
    <t>#</t>
  </si>
  <si>
    <t>Dashboard Question</t>
  </si>
  <si>
    <t>Recommended Chart</t>
  </si>
  <si>
    <t>Main Field</t>
  </si>
  <si>
    <r>
      <t xml:space="preserve">What is the </t>
    </r>
    <r>
      <rPr>
        <b/>
        <sz val="11"/>
        <color theme="1"/>
        <rFont val="Calibri"/>
        <family val="2"/>
        <scheme val="minor"/>
      </rPr>
      <t>total sales</t>
    </r>
    <r>
      <rPr>
        <sz val="11"/>
        <color theme="1"/>
        <rFont val="Calibri"/>
        <family val="2"/>
        <scheme val="minor"/>
      </rPr>
      <t xml:space="preserve"> by month?</t>
    </r>
  </si>
  <si>
    <t>Line Chart</t>
  </si>
  <si>
    <r>
      <t xml:space="preserve">What is the </t>
    </r>
    <r>
      <rPr>
        <b/>
        <sz val="11"/>
        <color theme="1"/>
        <rFont val="Calibri"/>
        <family val="2"/>
        <scheme val="minor"/>
      </rPr>
      <t>total profit</t>
    </r>
    <r>
      <rPr>
        <sz val="11"/>
        <color theme="1"/>
        <rFont val="Calibri"/>
        <family val="2"/>
        <scheme val="minor"/>
      </rPr>
      <t xml:space="preserve"> by month?</t>
    </r>
  </si>
  <si>
    <t>Column Chart</t>
  </si>
  <si>
    <r>
      <t xml:space="preserve">Which </t>
    </r>
    <r>
      <rPr>
        <b/>
        <sz val="11"/>
        <color theme="1"/>
        <rFont val="Calibri"/>
        <family val="2"/>
        <scheme val="minor"/>
      </rPr>
      <t>product generates the highest sales</t>
    </r>
    <r>
      <rPr>
        <sz val="11"/>
        <color theme="1"/>
        <rFont val="Calibri"/>
        <family val="2"/>
        <scheme val="minor"/>
      </rPr>
      <t>?</t>
    </r>
  </si>
  <si>
    <t>Bar Chart</t>
  </si>
  <si>
    <t>Sales + Product</t>
  </si>
  <si>
    <r>
      <t xml:space="preserve">Which </t>
    </r>
    <r>
      <rPr>
        <b/>
        <sz val="11"/>
        <color theme="1"/>
        <rFont val="Calibri"/>
        <family val="2"/>
        <scheme val="minor"/>
      </rPr>
      <t>category has the highest profit</t>
    </r>
    <r>
      <rPr>
        <sz val="11"/>
        <color theme="1"/>
        <rFont val="Calibri"/>
        <family val="2"/>
        <scheme val="minor"/>
      </rPr>
      <t>?</t>
    </r>
  </si>
  <si>
    <t>Profit + Category</t>
  </si>
  <si>
    <r>
      <t xml:space="preserve">Which </t>
    </r>
    <r>
      <rPr>
        <b/>
        <sz val="11"/>
        <color theme="1"/>
        <rFont val="Calibri"/>
        <family val="2"/>
        <scheme val="minor"/>
      </rPr>
      <t>region generates the most sales</t>
    </r>
    <r>
      <rPr>
        <sz val="11"/>
        <color theme="1"/>
        <rFont val="Calibri"/>
        <family val="2"/>
        <scheme val="minor"/>
      </rPr>
      <t>?</t>
    </r>
  </si>
  <si>
    <t>Sales + Region</t>
  </si>
  <si>
    <r>
      <t xml:space="preserve">What is the </t>
    </r>
    <r>
      <rPr>
        <b/>
        <sz val="11"/>
        <color theme="1"/>
        <rFont val="Calibri"/>
        <family val="2"/>
        <scheme val="minor"/>
      </rPr>
      <t>total quantity sold by product</t>
    </r>
    <r>
      <rPr>
        <sz val="11"/>
        <color theme="1"/>
        <rFont val="Calibri"/>
        <family val="2"/>
        <scheme val="minor"/>
      </rPr>
      <t>?</t>
    </r>
  </si>
  <si>
    <t>Quantity + Product</t>
  </si>
  <si>
    <r>
      <t xml:space="preserve">Which </t>
    </r>
    <r>
      <rPr>
        <b/>
        <sz val="11"/>
        <color theme="1"/>
        <rFont val="Calibri"/>
        <family val="2"/>
        <scheme val="minor"/>
      </rPr>
      <t>payment mode is used most often</t>
    </r>
    <r>
      <rPr>
        <sz val="11"/>
        <color theme="1"/>
        <rFont val="Calibri"/>
        <family val="2"/>
        <scheme val="minor"/>
      </rPr>
      <t>?</t>
    </r>
  </si>
  <si>
    <t>Donut Chart</t>
  </si>
  <si>
    <t>Payment Mode</t>
  </si>
  <si>
    <t>Row Labels</t>
  </si>
  <si>
    <t>Jan</t>
  </si>
  <si>
    <t>Feb</t>
  </si>
  <si>
    <t>Mar</t>
  </si>
  <si>
    <t>Apr</t>
  </si>
  <si>
    <t>May</t>
  </si>
  <si>
    <t>Jun</t>
  </si>
  <si>
    <t>Grand Total</t>
  </si>
  <si>
    <t>Sum of Sales</t>
  </si>
  <si>
    <t>Sum of Profit</t>
  </si>
  <si>
    <t>Sum of Quantity</t>
  </si>
  <si>
    <t>Average of Profit_Margin_%</t>
  </si>
  <si>
    <t>Count of Order_ID</t>
  </si>
  <si>
    <t>Count of Payment_Mode</t>
  </si>
  <si>
    <t>Sum of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</si>
</sst>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44C]#,##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xf numFmtId="9" fontId="0" fillId="0" borderId="0" xfId="0" applyNumberFormat="1"/>
    <xf numFmtId="0"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169">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0" formatCode="General"/>
    </dxf>
    <dxf>
      <numFmt numFmtId="165" formatCode="[$₹-44C]#,##0"/>
    </dxf>
    <dxf>
      <numFmt numFmtId="165" formatCode="[$₹-44C]#,##0"/>
    </dxf>
    <dxf>
      <numFmt numFmtId="165" formatCode="[$₹-44C]#,##0"/>
    </dxf>
    <dxf>
      <numFmt numFmtId="165" formatCode="[$₹-44C]#,##0"/>
    </dxf>
    <dxf>
      <numFmt numFmtId="165" formatCode="[$₹-44C]#,##0"/>
    </dxf>
    <dxf>
      <numFmt numFmtId="165" formatCode="[$₹-44C]#,##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Table'!$AD$4:$AD$10</c:f>
              <c:strCache>
                <c:ptCount val="6"/>
                <c:pt idx="0">
                  <c:v>Jan</c:v>
                </c:pt>
                <c:pt idx="1">
                  <c:v>Feb</c:v>
                </c:pt>
                <c:pt idx="2">
                  <c:v>Mar</c:v>
                </c:pt>
                <c:pt idx="3">
                  <c:v>Apr</c:v>
                </c:pt>
                <c:pt idx="4">
                  <c:v>May</c:v>
                </c:pt>
                <c:pt idx="5">
                  <c:v>Jun</c:v>
                </c:pt>
              </c:strCache>
            </c:strRef>
          </c:cat>
          <c:val>
            <c:numRef>
              <c:f>'Pivot Table'!$AE$4:$AE$10</c:f>
              <c:numCache>
                <c:formatCode>[$₹-44C]#,##0</c:formatCode>
                <c:ptCount val="6"/>
                <c:pt idx="0">
                  <c:v>177447.65</c:v>
                </c:pt>
                <c:pt idx="1">
                  <c:v>662610.15</c:v>
                </c:pt>
                <c:pt idx="2">
                  <c:v>411976.65</c:v>
                </c:pt>
                <c:pt idx="3">
                  <c:v>496053.4</c:v>
                </c:pt>
                <c:pt idx="4">
                  <c:v>265665.5</c:v>
                </c:pt>
                <c:pt idx="5">
                  <c:v>615611.19999999995</c:v>
                </c:pt>
              </c:numCache>
            </c:numRef>
          </c:val>
          <c:smooth val="0"/>
          <c:extLst>
            <c:ext xmlns:c16="http://schemas.microsoft.com/office/drawing/2014/chart" uri="{C3380CC4-5D6E-409C-BE32-E72D297353CC}">
              <c16:uniqueId val="{00000000-9E7A-4855-A13F-04715FBCBA18}"/>
            </c:ext>
          </c:extLst>
        </c:ser>
        <c:dLbls>
          <c:dLblPos val="t"/>
          <c:showLegendKey val="0"/>
          <c:showVal val="1"/>
          <c:showCatName val="0"/>
          <c:showSerName val="0"/>
          <c:showPercent val="0"/>
          <c:showBubbleSize val="0"/>
        </c:dLbls>
        <c:marker val="1"/>
        <c:smooth val="0"/>
        <c:axId val="810976831"/>
        <c:axId val="810972671"/>
      </c:lineChart>
      <c:catAx>
        <c:axId val="81097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972671"/>
        <c:crosses val="autoZero"/>
        <c:auto val="1"/>
        <c:lblAlgn val="ctr"/>
        <c:lblOffset val="100"/>
        <c:noMultiLvlLbl val="0"/>
      </c:catAx>
      <c:valAx>
        <c:axId val="810972671"/>
        <c:scaling>
          <c:orientation val="minMax"/>
        </c:scaling>
        <c:delete val="0"/>
        <c:axPos val="l"/>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976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Total 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Table'!$AO$4:$AO$10</c:f>
              <c:strCache>
                <c:ptCount val="6"/>
                <c:pt idx="0">
                  <c:v>Jan</c:v>
                </c:pt>
                <c:pt idx="1">
                  <c:v>Feb</c:v>
                </c:pt>
                <c:pt idx="2">
                  <c:v>Mar</c:v>
                </c:pt>
                <c:pt idx="3">
                  <c:v>Apr</c:v>
                </c:pt>
                <c:pt idx="4">
                  <c:v>May</c:v>
                </c:pt>
                <c:pt idx="5">
                  <c:v>Jun</c:v>
                </c:pt>
              </c:strCache>
            </c:strRef>
          </c:cat>
          <c:val>
            <c:numRef>
              <c:f>'Pivot Table'!$AP$4:$AP$10</c:f>
              <c:numCache>
                <c:formatCode>[$₹-44C]#,##0</c:formatCode>
                <c:ptCount val="6"/>
                <c:pt idx="0">
                  <c:v>54666.280000000013</c:v>
                </c:pt>
                <c:pt idx="1">
                  <c:v>213652.36000000002</c:v>
                </c:pt>
                <c:pt idx="2">
                  <c:v>129291.87000000001</c:v>
                </c:pt>
                <c:pt idx="3">
                  <c:v>141481.59</c:v>
                </c:pt>
                <c:pt idx="4">
                  <c:v>72112.219999999987</c:v>
                </c:pt>
                <c:pt idx="5">
                  <c:v>168799.19999999998</c:v>
                </c:pt>
              </c:numCache>
            </c:numRef>
          </c:val>
          <c:extLst>
            <c:ext xmlns:c16="http://schemas.microsoft.com/office/drawing/2014/chart" uri="{C3380CC4-5D6E-409C-BE32-E72D297353CC}">
              <c16:uniqueId val="{00000000-16E5-4AC4-9D86-F6EC384771CA}"/>
            </c:ext>
          </c:extLst>
        </c:ser>
        <c:dLbls>
          <c:dLblPos val="outEnd"/>
          <c:showLegendKey val="0"/>
          <c:showVal val="1"/>
          <c:showCatName val="0"/>
          <c:showSerName val="0"/>
          <c:showPercent val="0"/>
          <c:showBubbleSize val="0"/>
        </c:dLbls>
        <c:gapWidth val="219"/>
        <c:overlap val="-27"/>
        <c:axId val="1351435919"/>
        <c:axId val="1351436335"/>
      </c:barChart>
      <c:catAx>
        <c:axId val="135143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436335"/>
        <c:crosses val="autoZero"/>
        <c:auto val="1"/>
        <c:lblAlgn val="ctr"/>
        <c:lblOffset val="100"/>
        <c:noMultiLvlLbl val="0"/>
      </c:catAx>
      <c:valAx>
        <c:axId val="1351436335"/>
        <c:scaling>
          <c:orientation val="minMax"/>
        </c:scaling>
        <c:delete val="0"/>
        <c:axPos val="l"/>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435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alpha val="2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Generates The Highest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Table'!$AZ$4:$AZ$9</c:f>
              <c:strCache>
                <c:ptCount val="5"/>
                <c:pt idx="0">
                  <c:v>Keyboard</c:v>
                </c:pt>
                <c:pt idx="1">
                  <c:v>Mouse</c:v>
                </c:pt>
                <c:pt idx="2">
                  <c:v>Headset</c:v>
                </c:pt>
                <c:pt idx="3">
                  <c:v>Monitor</c:v>
                </c:pt>
                <c:pt idx="4">
                  <c:v>Laptop</c:v>
                </c:pt>
              </c:strCache>
            </c:strRef>
          </c:cat>
          <c:val>
            <c:numRef>
              <c:f>'Pivot Table'!$BA$4:$BA$9</c:f>
              <c:numCache>
                <c:formatCode>[$₹-44C]#,##0</c:formatCode>
                <c:ptCount val="5"/>
                <c:pt idx="0">
                  <c:v>67251.3</c:v>
                </c:pt>
                <c:pt idx="1">
                  <c:v>72674.250000000015</c:v>
                </c:pt>
                <c:pt idx="2">
                  <c:v>109501.65000000001</c:v>
                </c:pt>
                <c:pt idx="3">
                  <c:v>879964.95</c:v>
                </c:pt>
                <c:pt idx="4">
                  <c:v>1499972.4000000001</c:v>
                </c:pt>
              </c:numCache>
            </c:numRef>
          </c:val>
          <c:extLst>
            <c:ext xmlns:c16="http://schemas.microsoft.com/office/drawing/2014/chart" uri="{C3380CC4-5D6E-409C-BE32-E72D297353CC}">
              <c16:uniqueId val="{00000000-575F-44C6-B28F-1BDB6E032F99}"/>
            </c:ext>
          </c:extLst>
        </c:ser>
        <c:dLbls>
          <c:dLblPos val="outEnd"/>
          <c:showLegendKey val="0"/>
          <c:showVal val="1"/>
          <c:showCatName val="0"/>
          <c:showSerName val="0"/>
          <c:showPercent val="0"/>
          <c:showBubbleSize val="0"/>
        </c:dLbls>
        <c:gapWidth val="182"/>
        <c:axId val="1256781279"/>
        <c:axId val="1256786687"/>
      </c:barChart>
      <c:catAx>
        <c:axId val="125678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786687"/>
        <c:crosses val="autoZero"/>
        <c:auto val="1"/>
        <c:lblAlgn val="ctr"/>
        <c:lblOffset val="100"/>
        <c:noMultiLvlLbl val="0"/>
      </c:catAx>
      <c:valAx>
        <c:axId val="1256786687"/>
        <c:scaling>
          <c:orientation val="minMax"/>
        </c:scaling>
        <c:delete val="0"/>
        <c:axPos val="b"/>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781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Has The Highest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Table'!$BL$3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Table'!$BK$4:$BK$6</c:f>
              <c:strCache>
                <c:ptCount val="2"/>
                <c:pt idx="0">
                  <c:v>Electronics</c:v>
                </c:pt>
                <c:pt idx="1">
                  <c:v>Accessories</c:v>
                </c:pt>
              </c:strCache>
            </c:strRef>
          </c:cat>
          <c:val>
            <c:numRef>
              <c:f>'Pivot Table'!$BL$4:$BL$6</c:f>
              <c:numCache>
                <c:formatCode>[$₹-44C]#,##0</c:formatCode>
                <c:ptCount val="2"/>
                <c:pt idx="0">
                  <c:v>711452.65000000026</c:v>
                </c:pt>
                <c:pt idx="1">
                  <c:v>68550.87</c:v>
                </c:pt>
              </c:numCache>
            </c:numRef>
          </c:val>
          <c:extLst>
            <c:ext xmlns:c16="http://schemas.microsoft.com/office/drawing/2014/chart" uri="{C3380CC4-5D6E-409C-BE32-E72D297353CC}">
              <c16:uniqueId val="{00000000-C092-4910-8608-16EA8CDDC506}"/>
            </c:ext>
          </c:extLst>
        </c:ser>
        <c:dLbls>
          <c:showLegendKey val="0"/>
          <c:showVal val="1"/>
          <c:showCatName val="0"/>
          <c:showSerName val="0"/>
          <c:showPercent val="0"/>
          <c:showBubbleSize val="0"/>
        </c:dLbls>
        <c:gapWidth val="150"/>
        <c:shape val="box"/>
        <c:axId val="1302999952"/>
        <c:axId val="1302994960"/>
        <c:axId val="0"/>
      </c:bar3DChart>
      <c:catAx>
        <c:axId val="1302999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994960"/>
        <c:crosses val="autoZero"/>
        <c:auto val="1"/>
        <c:lblAlgn val="ctr"/>
        <c:lblOffset val="100"/>
        <c:noMultiLvlLbl val="0"/>
      </c:catAx>
      <c:valAx>
        <c:axId val="1302994960"/>
        <c:scaling>
          <c:orientation val="minMax"/>
        </c:scaling>
        <c:delete val="0"/>
        <c:axPos val="l"/>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999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Generates The Most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Table'!$BS$3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Table'!$BR$4:$BR$9</c:f>
              <c:strCache>
                <c:ptCount val="5"/>
                <c:pt idx="0">
                  <c:v>Unknown</c:v>
                </c:pt>
                <c:pt idx="1">
                  <c:v>North</c:v>
                </c:pt>
                <c:pt idx="2">
                  <c:v>South</c:v>
                </c:pt>
                <c:pt idx="3">
                  <c:v>East</c:v>
                </c:pt>
                <c:pt idx="4">
                  <c:v>West</c:v>
                </c:pt>
              </c:strCache>
            </c:strRef>
          </c:cat>
          <c:val>
            <c:numRef>
              <c:f>'Pivot Table'!$BS$4:$BS$9</c:f>
              <c:numCache>
                <c:formatCode>[$₹-44C]#,##0</c:formatCode>
                <c:ptCount val="5"/>
                <c:pt idx="0">
                  <c:v>1166.2</c:v>
                </c:pt>
                <c:pt idx="1">
                  <c:v>496216.65</c:v>
                </c:pt>
                <c:pt idx="2">
                  <c:v>622693.85</c:v>
                </c:pt>
                <c:pt idx="3">
                  <c:v>650732.74999999977</c:v>
                </c:pt>
                <c:pt idx="4">
                  <c:v>858555.1</c:v>
                </c:pt>
              </c:numCache>
            </c:numRef>
          </c:val>
          <c:extLst>
            <c:ext xmlns:c16="http://schemas.microsoft.com/office/drawing/2014/chart" uri="{C3380CC4-5D6E-409C-BE32-E72D297353CC}">
              <c16:uniqueId val="{00000000-BA27-42A6-A2FD-6E8A9351B9F1}"/>
            </c:ext>
          </c:extLst>
        </c:ser>
        <c:dLbls>
          <c:showLegendKey val="0"/>
          <c:showVal val="1"/>
          <c:showCatName val="0"/>
          <c:showSerName val="0"/>
          <c:showPercent val="0"/>
          <c:showBubbleSize val="0"/>
        </c:dLbls>
        <c:gapWidth val="150"/>
        <c:shape val="box"/>
        <c:axId val="1164757696"/>
        <c:axId val="1164743552"/>
        <c:axId val="0"/>
      </c:bar3DChart>
      <c:catAx>
        <c:axId val="116475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743552"/>
        <c:crosses val="autoZero"/>
        <c:auto val="1"/>
        <c:lblAlgn val="ctr"/>
        <c:lblOffset val="100"/>
        <c:noMultiLvlLbl val="0"/>
      </c:catAx>
      <c:valAx>
        <c:axId val="1164743552"/>
        <c:scaling>
          <c:orientation val="minMax"/>
        </c:scaling>
        <c:delete val="0"/>
        <c:axPos val="b"/>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75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Quantity Sold By Products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Table'!$BZ$4:$BZ$9</c:f>
              <c:strCache>
                <c:ptCount val="5"/>
                <c:pt idx="0">
                  <c:v>Monitor</c:v>
                </c:pt>
                <c:pt idx="1">
                  <c:v>Mouse</c:v>
                </c:pt>
                <c:pt idx="2">
                  <c:v>Headset</c:v>
                </c:pt>
                <c:pt idx="3">
                  <c:v>Keyboard</c:v>
                </c:pt>
                <c:pt idx="4">
                  <c:v>Laptop</c:v>
                </c:pt>
              </c:strCache>
            </c:strRef>
          </c:cat>
          <c:val>
            <c:numRef>
              <c:f>'Pivot Table'!$CA$4:$CA$9</c:f>
              <c:numCache>
                <c:formatCode>[$₹-44C]#,##0</c:formatCode>
                <c:ptCount val="5"/>
                <c:pt idx="0">
                  <c:v>66</c:v>
                </c:pt>
                <c:pt idx="1">
                  <c:v>52</c:v>
                </c:pt>
                <c:pt idx="2">
                  <c:v>39</c:v>
                </c:pt>
                <c:pt idx="3">
                  <c:v>32</c:v>
                </c:pt>
                <c:pt idx="4">
                  <c:v>30</c:v>
                </c:pt>
              </c:numCache>
            </c:numRef>
          </c:val>
          <c:extLst>
            <c:ext xmlns:c16="http://schemas.microsoft.com/office/drawing/2014/chart" uri="{C3380CC4-5D6E-409C-BE32-E72D297353CC}">
              <c16:uniqueId val="{00000000-2910-4AAD-9AF2-39E2A17843C5}"/>
            </c:ext>
          </c:extLst>
        </c:ser>
        <c:dLbls>
          <c:dLblPos val="outEnd"/>
          <c:showLegendKey val="0"/>
          <c:showVal val="1"/>
          <c:showCatName val="0"/>
          <c:showSerName val="0"/>
          <c:showPercent val="0"/>
          <c:showBubbleSize val="0"/>
        </c:dLbls>
        <c:gapWidth val="219"/>
        <c:overlap val="-27"/>
        <c:axId val="1408247472"/>
        <c:axId val="1408247888"/>
      </c:barChart>
      <c:catAx>
        <c:axId val="140824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247888"/>
        <c:crosses val="autoZero"/>
        <c:auto val="1"/>
        <c:lblAlgn val="ctr"/>
        <c:lblOffset val="100"/>
        <c:noMultiLvlLbl val="0"/>
      </c:catAx>
      <c:valAx>
        <c:axId val="1408247888"/>
        <c:scaling>
          <c:orientation val="minMax"/>
        </c:scaling>
        <c:delete val="0"/>
        <c:axPos val="l"/>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247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Table!PivotTable17</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Mode Is Used Most Often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Table'!$CI$3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225-4730-8AC1-9C6F8A602EB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225-4730-8AC1-9C6F8A602EB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225-4730-8AC1-9C6F8A602EB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225-4730-8AC1-9C6F8A602E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Table'!$CH$4:$CH$8</c:f>
              <c:strCache>
                <c:ptCount val="4"/>
                <c:pt idx="0">
                  <c:v>Card</c:v>
                </c:pt>
                <c:pt idx="1">
                  <c:v>Cash</c:v>
                </c:pt>
                <c:pt idx="2">
                  <c:v>Net Banking</c:v>
                </c:pt>
                <c:pt idx="3">
                  <c:v>UPI</c:v>
                </c:pt>
              </c:strCache>
            </c:strRef>
          </c:cat>
          <c:val>
            <c:numRef>
              <c:f>'Pivot Table'!$CI$4:$CI$8</c:f>
              <c:numCache>
                <c:formatCode>[$₹-44C]#,##0</c:formatCode>
                <c:ptCount val="4"/>
                <c:pt idx="0">
                  <c:v>19</c:v>
                </c:pt>
                <c:pt idx="1">
                  <c:v>17</c:v>
                </c:pt>
                <c:pt idx="2">
                  <c:v>20</c:v>
                </c:pt>
                <c:pt idx="3">
                  <c:v>24</c:v>
                </c:pt>
              </c:numCache>
            </c:numRef>
          </c:val>
          <c:extLst>
            <c:ext xmlns:c16="http://schemas.microsoft.com/office/drawing/2014/chart" uri="{C3380CC4-5D6E-409C-BE32-E72D297353CC}">
              <c16:uniqueId val="{00000000-6D56-42CD-8A97-5B1FDE85909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Table!PivotTable18</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By Cost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Table'!$CP$3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Table'!$CO$4:$CO$9</c:f>
              <c:strCache>
                <c:ptCount val="5"/>
                <c:pt idx="0">
                  <c:v>Headset</c:v>
                </c:pt>
                <c:pt idx="1">
                  <c:v>Keyboard</c:v>
                </c:pt>
                <c:pt idx="2">
                  <c:v>Laptop</c:v>
                </c:pt>
                <c:pt idx="3">
                  <c:v>Monitor</c:v>
                </c:pt>
                <c:pt idx="4">
                  <c:v>Mouse</c:v>
                </c:pt>
              </c:strCache>
            </c:strRef>
          </c:cat>
          <c:val>
            <c:numRef>
              <c:f>'Pivot Table'!$CP$4:$CP$9</c:f>
              <c:numCache>
                <c:formatCode>[$₹-44C]#,##0</c:formatCode>
                <c:ptCount val="5"/>
                <c:pt idx="0">
                  <c:v>77521.47</c:v>
                </c:pt>
                <c:pt idx="1">
                  <c:v>45870.419999999991</c:v>
                </c:pt>
                <c:pt idx="2">
                  <c:v>1041636.7900000002</c:v>
                </c:pt>
                <c:pt idx="3">
                  <c:v>629636.5199999999</c:v>
                </c:pt>
                <c:pt idx="4">
                  <c:v>54695.830000000009</c:v>
                </c:pt>
              </c:numCache>
            </c:numRef>
          </c:val>
          <c:extLst>
            <c:ext xmlns:c16="http://schemas.microsoft.com/office/drawing/2014/chart" uri="{C3380CC4-5D6E-409C-BE32-E72D297353CC}">
              <c16:uniqueId val="{00000000-4C36-4259-9381-5C07505350C0}"/>
            </c:ext>
          </c:extLst>
        </c:ser>
        <c:dLbls>
          <c:showLegendKey val="0"/>
          <c:showVal val="1"/>
          <c:showCatName val="0"/>
          <c:showSerName val="0"/>
          <c:showPercent val="0"/>
          <c:showBubbleSize val="0"/>
        </c:dLbls>
        <c:gapWidth val="150"/>
        <c:shape val="box"/>
        <c:axId val="1251676512"/>
        <c:axId val="1251679008"/>
        <c:axId val="0"/>
      </c:bar3DChart>
      <c:catAx>
        <c:axId val="12516765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679008"/>
        <c:crosses val="autoZero"/>
        <c:auto val="1"/>
        <c:lblAlgn val="ctr"/>
        <c:lblOffset val="100"/>
        <c:noMultiLvlLbl val="0"/>
      </c:catAx>
      <c:valAx>
        <c:axId val="1251679008"/>
        <c:scaling>
          <c:orientation val="minMax"/>
        </c:scaling>
        <c:delete val="0"/>
        <c:axPos val="l"/>
        <c:numFmt formatCode="[$₹-44C]#,##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67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Table!PivotTable12</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Table'!$AD$4:$AD$10</c:f>
              <c:strCache>
                <c:ptCount val="6"/>
                <c:pt idx="0">
                  <c:v>Jan</c:v>
                </c:pt>
                <c:pt idx="1">
                  <c:v>Feb</c:v>
                </c:pt>
                <c:pt idx="2">
                  <c:v>Mar</c:v>
                </c:pt>
                <c:pt idx="3">
                  <c:v>Apr</c:v>
                </c:pt>
                <c:pt idx="4">
                  <c:v>May</c:v>
                </c:pt>
                <c:pt idx="5">
                  <c:v>Jun</c:v>
                </c:pt>
              </c:strCache>
            </c:strRef>
          </c:cat>
          <c:val>
            <c:numRef>
              <c:f>'Pivot Table'!$AE$4:$AE$10</c:f>
              <c:numCache>
                <c:formatCode>[$₹-44C]#,##0</c:formatCode>
                <c:ptCount val="6"/>
                <c:pt idx="0">
                  <c:v>177447.65</c:v>
                </c:pt>
                <c:pt idx="1">
                  <c:v>662610.15</c:v>
                </c:pt>
                <c:pt idx="2">
                  <c:v>411976.65</c:v>
                </c:pt>
                <c:pt idx="3">
                  <c:v>496053.4</c:v>
                </c:pt>
                <c:pt idx="4">
                  <c:v>265665.5</c:v>
                </c:pt>
                <c:pt idx="5">
                  <c:v>615611.19999999995</c:v>
                </c:pt>
              </c:numCache>
            </c:numRef>
          </c:val>
          <c:smooth val="0"/>
          <c:extLst>
            <c:ext xmlns:c16="http://schemas.microsoft.com/office/drawing/2014/chart" uri="{C3380CC4-5D6E-409C-BE32-E72D297353CC}">
              <c16:uniqueId val="{00000000-514B-418F-A43A-C0BD561A40B1}"/>
            </c:ext>
          </c:extLst>
        </c:ser>
        <c:dLbls>
          <c:dLblPos val="t"/>
          <c:showLegendKey val="0"/>
          <c:showVal val="1"/>
          <c:showCatName val="0"/>
          <c:showSerName val="0"/>
          <c:showPercent val="0"/>
          <c:showBubbleSize val="0"/>
        </c:dLbls>
        <c:marker val="1"/>
        <c:smooth val="0"/>
        <c:axId val="810976831"/>
        <c:axId val="810972671"/>
      </c:lineChart>
      <c:catAx>
        <c:axId val="81097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10972671"/>
        <c:crosses val="autoZero"/>
        <c:auto val="1"/>
        <c:lblAlgn val="ctr"/>
        <c:lblOffset val="100"/>
        <c:noMultiLvlLbl val="0"/>
      </c:catAx>
      <c:valAx>
        <c:axId val="810972671"/>
        <c:scaling>
          <c:orientation val="minMax"/>
        </c:scaling>
        <c:delete val="0"/>
        <c:axPos val="l"/>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10976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Table!PivotTable13</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a:t>
            </a:r>
            <a:r>
              <a:rPr lang="en-US" b="1" baseline="0"/>
              <a:t> Profit</a:t>
            </a:r>
            <a:r>
              <a:rPr lang="en-US" b="1"/>
              <a:t> By Month</a:t>
            </a:r>
          </a:p>
        </c:rich>
      </c:tx>
      <c:layout>
        <c:manualLayout>
          <c:xMode val="edge"/>
          <c:yMode val="edge"/>
          <c:x val="0.33079230229224554"/>
          <c:y val="2.81663901776922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Table'!$AO$4:$AO$10</c:f>
              <c:strCache>
                <c:ptCount val="6"/>
                <c:pt idx="0">
                  <c:v>Jan</c:v>
                </c:pt>
                <c:pt idx="1">
                  <c:v>Feb</c:v>
                </c:pt>
                <c:pt idx="2">
                  <c:v>Mar</c:v>
                </c:pt>
                <c:pt idx="3">
                  <c:v>Apr</c:v>
                </c:pt>
                <c:pt idx="4">
                  <c:v>May</c:v>
                </c:pt>
                <c:pt idx="5">
                  <c:v>Jun</c:v>
                </c:pt>
              </c:strCache>
            </c:strRef>
          </c:cat>
          <c:val>
            <c:numRef>
              <c:f>'Pivot Table'!$AP$4:$AP$10</c:f>
              <c:numCache>
                <c:formatCode>[$₹-44C]#,##0</c:formatCode>
                <c:ptCount val="6"/>
                <c:pt idx="0">
                  <c:v>54666.280000000013</c:v>
                </c:pt>
                <c:pt idx="1">
                  <c:v>213652.36000000002</c:v>
                </c:pt>
                <c:pt idx="2">
                  <c:v>129291.87000000001</c:v>
                </c:pt>
                <c:pt idx="3">
                  <c:v>141481.59</c:v>
                </c:pt>
                <c:pt idx="4">
                  <c:v>72112.219999999987</c:v>
                </c:pt>
                <c:pt idx="5">
                  <c:v>168799.19999999998</c:v>
                </c:pt>
              </c:numCache>
            </c:numRef>
          </c:val>
          <c:extLst>
            <c:ext xmlns:c16="http://schemas.microsoft.com/office/drawing/2014/chart" uri="{C3380CC4-5D6E-409C-BE32-E72D297353CC}">
              <c16:uniqueId val="{00000000-344B-496A-87FF-82EE488CCE32}"/>
            </c:ext>
          </c:extLst>
        </c:ser>
        <c:dLbls>
          <c:dLblPos val="outEnd"/>
          <c:showLegendKey val="0"/>
          <c:showVal val="1"/>
          <c:showCatName val="0"/>
          <c:showSerName val="0"/>
          <c:showPercent val="0"/>
          <c:showBubbleSize val="0"/>
        </c:dLbls>
        <c:gapWidth val="219"/>
        <c:overlap val="-27"/>
        <c:axId val="1351435919"/>
        <c:axId val="1351436335"/>
      </c:barChart>
      <c:catAx>
        <c:axId val="135143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1436335"/>
        <c:crosses val="autoZero"/>
        <c:auto val="1"/>
        <c:lblAlgn val="ctr"/>
        <c:lblOffset val="100"/>
        <c:noMultiLvlLbl val="0"/>
      </c:catAx>
      <c:valAx>
        <c:axId val="1351436335"/>
        <c:scaling>
          <c:orientation val="minMax"/>
        </c:scaling>
        <c:delete val="0"/>
        <c:axPos val="l"/>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1435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Table!PivotTable14</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Product Generates The Highest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Table'!$AZ$4:$AZ$9</c:f>
              <c:strCache>
                <c:ptCount val="5"/>
                <c:pt idx="0">
                  <c:v>Keyboard</c:v>
                </c:pt>
                <c:pt idx="1">
                  <c:v>Mouse</c:v>
                </c:pt>
                <c:pt idx="2">
                  <c:v>Headset</c:v>
                </c:pt>
                <c:pt idx="3">
                  <c:v>Monitor</c:v>
                </c:pt>
                <c:pt idx="4">
                  <c:v>Laptop</c:v>
                </c:pt>
              </c:strCache>
            </c:strRef>
          </c:cat>
          <c:val>
            <c:numRef>
              <c:f>'Pivot Table'!$BA$4:$BA$9</c:f>
              <c:numCache>
                <c:formatCode>[$₹-44C]#,##0</c:formatCode>
                <c:ptCount val="5"/>
                <c:pt idx="0">
                  <c:v>67251.3</c:v>
                </c:pt>
                <c:pt idx="1">
                  <c:v>72674.250000000015</c:v>
                </c:pt>
                <c:pt idx="2">
                  <c:v>109501.65000000001</c:v>
                </c:pt>
                <c:pt idx="3">
                  <c:v>879964.95</c:v>
                </c:pt>
                <c:pt idx="4">
                  <c:v>1499972.4000000001</c:v>
                </c:pt>
              </c:numCache>
            </c:numRef>
          </c:val>
          <c:extLst>
            <c:ext xmlns:c16="http://schemas.microsoft.com/office/drawing/2014/chart" uri="{C3380CC4-5D6E-409C-BE32-E72D297353CC}">
              <c16:uniqueId val="{00000000-578F-4B53-9E71-5C6BFB1C8BDD}"/>
            </c:ext>
          </c:extLst>
        </c:ser>
        <c:dLbls>
          <c:dLblPos val="outEnd"/>
          <c:showLegendKey val="0"/>
          <c:showVal val="1"/>
          <c:showCatName val="0"/>
          <c:showSerName val="0"/>
          <c:showPercent val="0"/>
          <c:showBubbleSize val="0"/>
        </c:dLbls>
        <c:gapWidth val="182"/>
        <c:axId val="1256781279"/>
        <c:axId val="1256786687"/>
      </c:barChart>
      <c:catAx>
        <c:axId val="125678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6786687"/>
        <c:crosses val="autoZero"/>
        <c:auto val="1"/>
        <c:lblAlgn val="ctr"/>
        <c:lblOffset val="100"/>
        <c:noMultiLvlLbl val="0"/>
      </c:catAx>
      <c:valAx>
        <c:axId val="1256786687"/>
        <c:scaling>
          <c:orientation val="minMax"/>
        </c:scaling>
        <c:delete val="0"/>
        <c:axPos val="b"/>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6781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Table!PivotTable15</c:name>
    <c:fmtId val="1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Category Has The Highest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Table'!$BL$3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Table'!$BK$4:$BK$6</c:f>
              <c:strCache>
                <c:ptCount val="2"/>
                <c:pt idx="0">
                  <c:v>Electronics</c:v>
                </c:pt>
                <c:pt idx="1">
                  <c:v>Accessories</c:v>
                </c:pt>
              </c:strCache>
            </c:strRef>
          </c:cat>
          <c:val>
            <c:numRef>
              <c:f>'Pivot Table'!$BL$4:$BL$6</c:f>
              <c:numCache>
                <c:formatCode>[$₹-44C]#,##0</c:formatCode>
                <c:ptCount val="2"/>
                <c:pt idx="0">
                  <c:v>711452.65000000026</c:v>
                </c:pt>
                <c:pt idx="1">
                  <c:v>68550.87</c:v>
                </c:pt>
              </c:numCache>
            </c:numRef>
          </c:val>
          <c:extLst>
            <c:ext xmlns:c16="http://schemas.microsoft.com/office/drawing/2014/chart" uri="{C3380CC4-5D6E-409C-BE32-E72D297353CC}">
              <c16:uniqueId val="{00000000-E90C-46BA-A266-AD74981BABA8}"/>
            </c:ext>
          </c:extLst>
        </c:ser>
        <c:dLbls>
          <c:showLegendKey val="0"/>
          <c:showVal val="1"/>
          <c:showCatName val="0"/>
          <c:showSerName val="0"/>
          <c:showPercent val="0"/>
          <c:showBubbleSize val="0"/>
        </c:dLbls>
        <c:gapWidth val="150"/>
        <c:shape val="box"/>
        <c:axId val="1302999952"/>
        <c:axId val="1302994960"/>
        <c:axId val="0"/>
      </c:bar3DChart>
      <c:catAx>
        <c:axId val="1302999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02994960"/>
        <c:crosses val="autoZero"/>
        <c:auto val="1"/>
        <c:lblAlgn val="ctr"/>
        <c:lblOffset val="100"/>
        <c:noMultiLvlLbl val="0"/>
      </c:catAx>
      <c:valAx>
        <c:axId val="1302994960"/>
        <c:scaling>
          <c:orientation val="minMax"/>
        </c:scaling>
        <c:delete val="0"/>
        <c:axPos val="l"/>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02999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c:name>
    <c:fmtId val="2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Region Generates The Most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Table'!$BS$3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Table'!$BR$4:$BR$9</c:f>
              <c:strCache>
                <c:ptCount val="5"/>
                <c:pt idx="0">
                  <c:v>Unknown</c:v>
                </c:pt>
                <c:pt idx="1">
                  <c:v>North</c:v>
                </c:pt>
                <c:pt idx="2">
                  <c:v>South</c:v>
                </c:pt>
                <c:pt idx="3">
                  <c:v>East</c:v>
                </c:pt>
                <c:pt idx="4">
                  <c:v>West</c:v>
                </c:pt>
              </c:strCache>
            </c:strRef>
          </c:cat>
          <c:val>
            <c:numRef>
              <c:f>'Pivot Table'!$BS$4:$BS$9</c:f>
              <c:numCache>
                <c:formatCode>[$₹-44C]#,##0</c:formatCode>
                <c:ptCount val="5"/>
                <c:pt idx="0">
                  <c:v>1166.2</c:v>
                </c:pt>
                <c:pt idx="1">
                  <c:v>496216.65</c:v>
                </c:pt>
                <c:pt idx="2">
                  <c:v>622693.85</c:v>
                </c:pt>
                <c:pt idx="3">
                  <c:v>650732.74999999977</c:v>
                </c:pt>
                <c:pt idx="4">
                  <c:v>858555.1</c:v>
                </c:pt>
              </c:numCache>
            </c:numRef>
          </c:val>
          <c:extLst>
            <c:ext xmlns:c16="http://schemas.microsoft.com/office/drawing/2014/chart" uri="{C3380CC4-5D6E-409C-BE32-E72D297353CC}">
              <c16:uniqueId val="{00000000-3D10-4AF3-953C-66BC0D383CF2}"/>
            </c:ext>
          </c:extLst>
        </c:ser>
        <c:dLbls>
          <c:showLegendKey val="0"/>
          <c:showVal val="1"/>
          <c:showCatName val="0"/>
          <c:showSerName val="0"/>
          <c:showPercent val="0"/>
          <c:showBubbleSize val="0"/>
        </c:dLbls>
        <c:gapWidth val="150"/>
        <c:shape val="box"/>
        <c:axId val="1164757696"/>
        <c:axId val="1164743552"/>
        <c:axId val="0"/>
      </c:bar3DChart>
      <c:catAx>
        <c:axId val="116475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4743552"/>
        <c:crosses val="autoZero"/>
        <c:auto val="1"/>
        <c:lblAlgn val="ctr"/>
        <c:lblOffset val="100"/>
        <c:noMultiLvlLbl val="0"/>
      </c:catAx>
      <c:valAx>
        <c:axId val="1164743552"/>
        <c:scaling>
          <c:orientation val="minMax"/>
        </c:scaling>
        <c:delete val="0"/>
        <c:axPos val="b"/>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475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Table!PivotTable16</c:name>
    <c:fmtId val="2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Quantity Sold By Products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Table'!$BZ$4:$BZ$9</c:f>
              <c:strCache>
                <c:ptCount val="5"/>
                <c:pt idx="0">
                  <c:v>Monitor</c:v>
                </c:pt>
                <c:pt idx="1">
                  <c:v>Mouse</c:v>
                </c:pt>
                <c:pt idx="2">
                  <c:v>Headset</c:v>
                </c:pt>
                <c:pt idx="3">
                  <c:v>Keyboard</c:v>
                </c:pt>
                <c:pt idx="4">
                  <c:v>Laptop</c:v>
                </c:pt>
              </c:strCache>
            </c:strRef>
          </c:cat>
          <c:val>
            <c:numRef>
              <c:f>'Pivot Table'!$CA$4:$CA$9</c:f>
              <c:numCache>
                <c:formatCode>[$₹-44C]#,##0</c:formatCode>
                <c:ptCount val="5"/>
                <c:pt idx="0">
                  <c:v>66</c:v>
                </c:pt>
                <c:pt idx="1">
                  <c:v>52</c:v>
                </c:pt>
                <c:pt idx="2">
                  <c:v>39</c:v>
                </c:pt>
                <c:pt idx="3">
                  <c:v>32</c:v>
                </c:pt>
                <c:pt idx="4">
                  <c:v>30</c:v>
                </c:pt>
              </c:numCache>
            </c:numRef>
          </c:val>
          <c:extLst>
            <c:ext xmlns:c16="http://schemas.microsoft.com/office/drawing/2014/chart" uri="{C3380CC4-5D6E-409C-BE32-E72D297353CC}">
              <c16:uniqueId val="{00000000-28BB-4E22-8507-763D1B8C33E7}"/>
            </c:ext>
          </c:extLst>
        </c:ser>
        <c:dLbls>
          <c:dLblPos val="outEnd"/>
          <c:showLegendKey val="0"/>
          <c:showVal val="1"/>
          <c:showCatName val="0"/>
          <c:showSerName val="0"/>
          <c:showPercent val="0"/>
          <c:showBubbleSize val="0"/>
        </c:dLbls>
        <c:gapWidth val="219"/>
        <c:overlap val="-27"/>
        <c:axId val="1408247472"/>
        <c:axId val="1408247888"/>
      </c:barChart>
      <c:catAx>
        <c:axId val="140824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8247888"/>
        <c:crosses val="autoZero"/>
        <c:auto val="1"/>
        <c:lblAlgn val="ctr"/>
        <c:lblOffset val="100"/>
        <c:noMultiLvlLbl val="0"/>
      </c:catAx>
      <c:valAx>
        <c:axId val="1408247888"/>
        <c:scaling>
          <c:orientation val="minMax"/>
        </c:scaling>
        <c:delete val="0"/>
        <c:axPos val="l"/>
        <c:numFmt formatCode="[$₹-44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8247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Table!PivotTable17</c:name>
    <c:fmtId val="31"/>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Payment Mode Is Used Most Often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Table'!$CI$3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636-41F8-8655-AB2A0CDF227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636-41F8-8655-AB2A0CDF227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636-41F8-8655-AB2A0CDF227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636-41F8-8655-AB2A0CDF227D}"/>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Table'!$CH$4:$CH$8</c:f>
              <c:strCache>
                <c:ptCount val="4"/>
                <c:pt idx="0">
                  <c:v>Card</c:v>
                </c:pt>
                <c:pt idx="1">
                  <c:v>Cash</c:v>
                </c:pt>
                <c:pt idx="2">
                  <c:v>Net Banking</c:v>
                </c:pt>
                <c:pt idx="3">
                  <c:v>UPI</c:v>
                </c:pt>
              </c:strCache>
            </c:strRef>
          </c:cat>
          <c:val>
            <c:numRef>
              <c:f>'Pivot Table'!$CI$4:$CI$8</c:f>
              <c:numCache>
                <c:formatCode>[$₹-44C]#,##0</c:formatCode>
                <c:ptCount val="4"/>
                <c:pt idx="0">
                  <c:v>19</c:v>
                </c:pt>
                <c:pt idx="1">
                  <c:v>17</c:v>
                </c:pt>
                <c:pt idx="2">
                  <c:v>20</c:v>
                </c:pt>
                <c:pt idx="3">
                  <c:v>24</c:v>
                </c:pt>
              </c:numCache>
            </c:numRef>
          </c:val>
          <c:extLst>
            <c:ext xmlns:c16="http://schemas.microsoft.com/office/drawing/2014/chart" uri="{C3380CC4-5D6E-409C-BE32-E72D297353CC}">
              <c16:uniqueId val="{00000008-2636-41F8-8655-AB2A0CDF227D}"/>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accent2"/>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 (1).xlsx]Pivot Table!PivotTable18</c:name>
    <c:fmtId val="4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Product By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Table'!$CP$3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Table'!$CO$4:$CO$9</c:f>
              <c:strCache>
                <c:ptCount val="5"/>
                <c:pt idx="0">
                  <c:v>Headset</c:v>
                </c:pt>
                <c:pt idx="1">
                  <c:v>Keyboard</c:v>
                </c:pt>
                <c:pt idx="2">
                  <c:v>Laptop</c:v>
                </c:pt>
                <c:pt idx="3">
                  <c:v>Monitor</c:v>
                </c:pt>
                <c:pt idx="4">
                  <c:v>Mouse</c:v>
                </c:pt>
              </c:strCache>
            </c:strRef>
          </c:cat>
          <c:val>
            <c:numRef>
              <c:f>'Pivot Table'!$CP$4:$CP$9</c:f>
              <c:numCache>
                <c:formatCode>[$₹-44C]#,##0</c:formatCode>
                <c:ptCount val="5"/>
                <c:pt idx="0">
                  <c:v>77521.47</c:v>
                </c:pt>
                <c:pt idx="1">
                  <c:v>45870.419999999991</c:v>
                </c:pt>
                <c:pt idx="2">
                  <c:v>1041636.7900000002</c:v>
                </c:pt>
                <c:pt idx="3">
                  <c:v>629636.5199999999</c:v>
                </c:pt>
                <c:pt idx="4">
                  <c:v>54695.830000000009</c:v>
                </c:pt>
              </c:numCache>
            </c:numRef>
          </c:val>
          <c:extLst>
            <c:ext xmlns:c16="http://schemas.microsoft.com/office/drawing/2014/chart" uri="{C3380CC4-5D6E-409C-BE32-E72D297353CC}">
              <c16:uniqueId val="{00000000-DF23-4E56-9F59-7A1153FF5CF8}"/>
            </c:ext>
          </c:extLst>
        </c:ser>
        <c:dLbls>
          <c:showLegendKey val="0"/>
          <c:showVal val="1"/>
          <c:showCatName val="0"/>
          <c:showSerName val="0"/>
          <c:showPercent val="0"/>
          <c:showBubbleSize val="0"/>
        </c:dLbls>
        <c:gapWidth val="150"/>
        <c:shape val="box"/>
        <c:axId val="1251676512"/>
        <c:axId val="1251679008"/>
        <c:axId val="0"/>
      </c:bar3DChart>
      <c:catAx>
        <c:axId val="12516765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1679008"/>
        <c:crosses val="autoZero"/>
        <c:auto val="1"/>
        <c:lblAlgn val="ctr"/>
        <c:lblOffset val="100"/>
        <c:noMultiLvlLbl val="0"/>
      </c:catAx>
      <c:valAx>
        <c:axId val="1251679008"/>
        <c:scaling>
          <c:orientation val="minMax"/>
        </c:scaling>
        <c:delete val="0"/>
        <c:axPos val="l"/>
        <c:numFmt formatCode="[$₹-44C]#,##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167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hyperlink" Target="#Dashboard!A1"/><Relationship Id="rId13" Type="http://schemas.microsoft.com/office/2007/relationships/hdphoto" Target="../media/hdphoto1.wdp"/><Relationship Id="rId18" Type="http://schemas.openxmlformats.org/officeDocument/2006/relationships/image" Target="../media/image5.svg"/><Relationship Id="rId3" Type="http://schemas.openxmlformats.org/officeDocument/2006/relationships/chart" Target="../charts/chart11.xml"/><Relationship Id="rId21" Type="http://schemas.openxmlformats.org/officeDocument/2006/relationships/image" Target="../media/image8.png"/><Relationship Id="rId7" Type="http://schemas.openxmlformats.org/officeDocument/2006/relationships/chart" Target="../charts/chart15.xml"/><Relationship Id="rId12" Type="http://schemas.openxmlformats.org/officeDocument/2006/relationships/image" Target="../media/image1.png"/><Relationship Id="rId17" Type="http://schemas.openxmlformats.org/officeDocument/2006/relationships/image" Target="../media/image4.png"/><Relationship Id="rId2" Type="http://schemas.openxmlformats.org/officeDocument/2006/relationships/chart" Target="../charts/chart10.xml"/><Relationship Id="rId16" Type="http://schemas.openxmlformats.org/officeDocument/2006/relationships/hyperlink" Target="https://www.knowthymoney.com/2016/02/klse-stock-3-yrs-improving-revenue.html" TargetMode="External"/><Relationship Id="rId20" Type="http://schemas.openxmlformats.org/officeDocument/2006/relationships/image" Target="../media/image7.sv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hyperlink" Target="#Q!A1"/><Relationship Id="rId5" Type="http://schemas.openxmlformats.org/officeDocument/2006/relationships/chart" Target="../charts/chart13.xml"/><Relationship Id="rId15" Type="http://schemas.openxmlformats.org/officeDocument/2006/relationships/image" Target="../media/image3.jpeg"/><Relationship Id="rId23" Type="http://schemas.openxmlformats.org/officeDocument/2006/relationships/chart" Target="../charts/chart16.xml"/><Relationship Id="rId10" Type="http://schemas.openxmlformats.org/officeDocument/2006/relationships/hyperlink" Target="#'Pivot Table'!A1"/><Relationship Id="rId19" Type="http://schemas.openxmlformats.org/officeDocument/2006/relationships/image" Target="../media/image6.png"/><Relationship Id="rId4" Type="http://schemas.openxmlformats.org/officeDocument/2006/relationships/chart" Target="../charts/chart12.xml"/><Relationship Id="rId9" Type="http://schemas.openxmlformats.org/officeDocument/2006/relationships/hyperlink" Target="#Data!A1"/><Relationship Id="rId14" Type="http://schemas.openxmlformats.org/officeDocument/2006/relationships/image" Target="../media/image2.jpeg"/><Relationship Id="rId22" Type="http://schemas.openxmlformats.org/officeDocument/2006/relationships/image" Target="../media/image9.svg"/></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oneCell">
    <xdr:from>
      <xdr:col>3</xdr:col>
      <xdr:colOff>184150</xdr:colOff>
      <xdr:row>2</xdr:row>
      <xdr:rowOff>6351</xdr:rowOff>
    </xdr:from>
    <xdr:to>
      <xdr:col>6</xdr:col>
      <xdr:colOff>97790</xdr:colOff>
      <xdr:row>8</xdr:row>
      <xdr:rowOff>107950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5FA108D9-BEE9-4A3D-B8E4-845548BA0AE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917950" y="374651"/>
              <a:ext cx="1920240" cy="1206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260350</xdr:colOff>
      <xdr:row>2</xdr:row>
      <xdr:rowOff>6351</xdr:rowOff>
    </xdr:from>
    <xdr:to>
      <xdr:col>12</xdr:col>
      <xdr:colOff>290830</xdr:colOff>
      <xdr:row>9</xdr:row>
      <xdr:rowOff>6350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F383418E-6E94-4C89-8B12-60E4E83F2E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73950" y="374651"/>
              <a:ext cx="2468880" cy="1289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88900</xdr:colOff>
      <xdr:row>1</xdr:row>
      <xdr:rowOff>171450</xdr:rowOff>
    </xdr:from>
    <xdr:to>
      <xdr:col>17</xdr:col>
      <xdr:colOff>180340</xdr:colOff>
      <xdr:row>7</xdr:row>
      <xdr:rowOff>25399</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3FBE53F1-4A35-4C39-8E9F-2403BCD5C2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214100" y="355600"/>
              <a:ext cx="1920240" cy="958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95250</xdr:colOff>
      <xdr:row>1</xdr:row>
      <xdr:rowOff>180975</xdr:rowOff>
    </xdr:from>
    <xdr:to>
      <xdr:col>38</xdr:col>
      <xdr:colOff>400050</xdr:colOff>
      <xdr:row>16</xdr:row>
      <xdr:rowOff>161925</xdr:rowOff>
    </xdr:to>
    <xdr:graphicFrame macro="">
      <xdr:nvGraphicFramePr>
        <xdr:cNvPr id="8" name="Chart 7">
          <a:extLst>
            <a:ext uri="{FF2B5EF4-FFF2-40B4-BE49-F238E27FC236}">
              <a16:creationId xmlns:a16="http://schemas.microsoft.com/office/drawing/2014/main" id="{23983B38-A5CC-4017-B9BA-A44352160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158750</xdr:colOff>
      <xdr:row>2</xdr:row>
      <xdr:rowOff>9525</xdr:rowOff>
    </xdr:from>
    <xdr:to>
      <xdr:col>49</xdr:col>
      <xdr:colOff>463550</xdr:colOff>
      <xdr:row>16</xdr:row>
      <xdr:rowOff>174625</xdr:rowOff>
    </xdr:to>
    <xdr:graphicFrame macro="">
      <xdr:nvGraphicFramePr>
        <xdr:cNvPr id="9" name="Chart 8">
          <a:extLst>
            <a:ext uri="{FF2B5EF4-FFF2-40B4-BE49-F238E27FC236}">
              <a16:creationId xmlns:a16="http://schemas.microsoft.com/office/drawing/2014/main" id="{DB11D429-3B82-4F66-945F-E9C3514F1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53</xdr:col>
      <xdr:colOff>228600</xdr:colOff>
      <xdr:row>1</xdr:row>
      <xdr:rowOff>180975</xdr:rowOff>
    </xdr:from>
    <xdr:to>
      <xdr:col>61</xdr:col>
      <xdr:colOff>247650</xdr:colOff>
      <xdr:row>16</xdr:row>
      <xdr:rowOff>161925</xdr:rowOff>
    </xdr:to>
    <xdr:graphicFrame macro="">
      <xdr:nvGraphicFramePr>
        <xdr:cNvPr id="10" name="Chart 9">
          <a:extLst>
            <a:ext uri="{FF2B5EF4-FFF2-40B4-BE49-F238E27FC236}">
              <a16:creationId xmlns:a16="http://schemas.microsoft.com/office/drawing/2014/main" id="{89E3BB86-6D51-4C78-A493-60A06AC29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62</xdr:col>
      <xdr:colOff>12700</xdr:colOff>
      <xdr:row>6</xdr:row>
      <xdr:rowOff>136525</xdr:rowOff>
    </xdr:from>
    <xdr:to>
      <xdr:col>68</xdr:col>
      <xdr:colOff>241300</xdr:colOff>
      <xdr:row>21</xdr:row>
      <xdr:rowOff>117475</xdr:rowOff>
    </xdr:to>
    <xdr:graphicFrame macro="">
      <xdr:nvGraphicFramePr>
        <xdr:cNvPr id="2" name="Chart 1">
          <a:extLst>
            <a:ext uri="{FF2B5EF4-FFF2-40B4-BE49-F238E27FC236}">
              <a16:creationId xmlns:a16="http://schemas.microsoft.com/office/drawing/2014/main" id="{50AF61D5-370C-4F3D-BF67-D3DCDE50D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68</xdr:col>
      <xdr:colOff>590550</xdr:colOff>
      <xdr:row>10</xdr:row>
      <xdr:rowOff>3175</xdr:rowOff>
    </xdr:from>
    <xdr:to>
      <xdr:col>75</xdr:col>
      <xdr:colOff>463550</xdr:colOff>
      <xdr:row>24</xdr:row>
      <xdr:rowOff>168275</xdr:rowOff>
    </xdr:to>
    <xdr:graphicFrame macro="">
      <xdr:nvGraphicFramePr>
        <xdr:cNvPr id="11" name="Chart 10">
          <a:extLst>
            <a:ext uri="{FF2B5EF4-FFF2-40B4-BE49-F238E27FC236}">
              <a16:creationId xmlns:a16="http://schemas.microsoft.com/office/drawing/2014/main" id="{641C52D9-5591-42D9-9515-104CEBDD1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77</xdr:col>
      <xdr:colOff>6350</xdr:colOff>
      <xdr:row>10</xdr:row>
      <xdr:rowOff>180975</xdr:rowOff>
    </xdr:from>
    <xdr:to>
      <xdr:col>83</xdr:col>
      <xdr:colOff>260350</xdr:colOff>
      <xdr:row>25</xdr:row>
      <xdr:rowOff>161925</xdr:rowOff>
    </xdr:to>
    <xdr:graphicFrame macro="">
      <xdr:nvGraphicFramePr>
        <xdr:cNvPr id="12" name="Chart 11">
          <a:extLst>
            <a:ext uri="{FF2B5EF4-FFF2-40B4-BE49-F238E27FC236}">
              <a16:creationId xmlns:a16="http://schemas.microsoft.com/office/drawing/2014/main" id="{CEF35797-765A-4346-9BD6-B499155DC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85</xdr:col>
      <xdr:colOff>0</xdr:colOff>
      <xdr:row>9</xdr:row>
      <xdr:rowOff>180975</xdr:rowOff>
    </xdr:from>
    <xdr:to>
      <xdr:col>90</xdr:col>
      <xdr:colOff>330200</xdr:colOff>
      <xdr:row>24</xdr:row>
      <xdr:rowOff>161925</xdr:rowOff>
    </xdr:to>
    <xdr:graphicFrame macro="">
      <xdr:nvGraphicFramePr>
        <xdr:cNvPr id="13" name="Chart 12">
          <a:extLst>
            <a:ext uri="{FF2B5EF4-FFF2-40B4-BE49-F238E27FC236}">
              <a16:creationId xmlns:a16="http://schemas.microsoft.com/office/drawing/2014/main" id="{FE7ADBD5-4638-4299-AD48-850B1A04C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165100</xdr:colOff>
      <xdr:row>2</xdr:row>
      <xdr:rowOff>38100</xdr:rowOff>
    </xdr:from>
    <xdr:to>
      <xdr:col>27</xdr:col>
      <xdr:colOff>165100</xdr:colOff>
      <xdr:row>11</xdr:row>
      <xdr:rowOff>101599</xdr:rowOff>
    </xdr:to>
    <mc:AlternateContent xmlns:mc="http://schemas.openxmlformats.org/markup-compatibility/2006" xmlns:a14="http://schemas.microsoft.com/office/drawing/2010/main">
      <mc:Choice Requires="a14">
        <xdr:graphicFrame macro="">
          <xdr:nvGraphicFramePr>
            <xdr:cNvPr id="14" name="Payment_Mode">
              <a:extLst>
                <a:ext uri="{FF2B5EF4-FFF2-40B4-BE49-F238E27FC236}">
                  <a16:creationId xmlns:a16="http://schemas.microsoft.com/office/drawing/2014/main" id="{4A2D0BC1-D9D8-4126-AF09-48E4BE36A6E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7310100" y="406400"/>
              <a:ext cx="1828800" cy="1720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158750</xdr:colOff>
      <xdr:row>1</xdr:row>
      <xdr:rowOff>171451</xdr:rowOff>
    </xdr:from>
    <xdr:to>
      <xdr:col>22</xdr:col>
      <xdr:colOff>158750</xdr:colOff>
      <xdr:row>13</xdr:row>
      <xdr:rowOff>6351</xdr:rowOff>
    </xdr:to>
    <mc:AlternateContent xmlns:mc="http://schemas.openxmlformats.org/markup-compatibility/2006" xmlns:a14="http://schemas.microsoft.com/office/drawing/2010/main">
      <mc:Choice Requires="a14">
        <xdr:graphicFrame macro="">
          <xdr:nvGraphicFramePr>
            <xdr:cNvPr id="17" name="Product">
              <a:extLst>
                <a:ext uri="{FF2B5EF4-FFF2-40B4-BE49-F238E27FC236}">
                  <a16:creationId xmlns:a16="http://schemas.microsoft.com/office/drawing/2014/main" id="{95B7D0F5-C726-4312-8273-A0A92484660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001750" y="355601"/>
              <a:ext cx="1828800" cy="2044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793750</xdr:colOff>
      <xdr:row>18</xdr:row>
      <xdr:rowOff>139700</xdr:rowOff>
    </xdr:from>
    <xdr:to>
      <xdr:col>1</xdr:col>
      <xdr:colOff>1079500</xdr:colOff>
      <xdr:row>23</xdr:row>
      <xdr:rowOff>114300</xdr:rowOff>
    </xdr:to>
    <xdr:sp macro="" textlink="">
      <xdr:nvSpPr>
        <xdr:cNvPr id="18" name="Arrow: Right 17">
          <a:hlinkClick xmlns:r="http://schemas.openxmlformats.org/officeDocument/2006/relationships" r:id="rId8"/>
          <a:extLst>
            <a:ext uri="{FF2B5EF4-FFF2-40B4-BE49-F238E27FC236}">
              <a16:creationId xmlns:a16="http://schemas.microsoft.com/office/drawing/2014/main" id="{7B452EB0-4991-4399-AF75-9DE5D134ECDB}"/>
            </a:ext>
          </a:extLst>
        </xdr:cNvPr>
        <xdr:cNvSpPr/>
      </xdr:nvSpPr>
      <xdr:spPr>
        <a:xfrm>
          <a:off x="793750" y="3454400"/>
          <a:ext cx="1428750" cy="8953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Dashboard</a:t>
          </a:r>
        </a:p>
      </xdr:txBody>
    </xdr:sp>
    <xdr:clientData/>
  </xdr:twoCellAnchor>
  <xdr:twoCellAnchor>
    <xdr:from>
      <xdr:col>92</xdr:col>
      <xdr:colOff>19050</xdr:colOff>
      <xdr:row>10</xdr:row>
      <xdr:rowOff>22225</xdr:rowOff>
    </xdr:from>
    <xdr:to>
      <xdr:col>98</xdr:col>
      <xdr:colOff>387350</xdr:colOff>
      <xdr:row>25</xdr:row>
      <xdr:rowOff>3175</xdr:rowOff>
    </xdr:to>
    <xdr:graphicFrame macro="">
      <xdr:nvGraphicFramePr>
        <xdr:cNvPr id="15" name="Chart 14">
          <a:extLst>
            <a:ext uri="{FF2B5EF4-FFF2-40B4-BE49-F238E27FC236}">
              <a16:creationId xmlns:a16="http://schemas.microsoft.com/office/drawing/2014/main" id="{7514452D-5F4A-4CC3-AFE3-941DB50C8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563114</xdr:colOff>
      <xdr:row>90</xdr:row>
      <xdr:rowOff>130479</xdr:rowOff>
    </xdr:to>
    <xdr:sp macro="" textlink="">
      <xdr:nvSpPr>
        <xdr:cNvPr id="2" name="Rectangle: Rounded Corners 1">
          <a:extLst>
            <a:ext uri="{FF2B5EF4-FFF2-40B4-BE49-F238E27FC236}">
              <a16:creationId xmlns:a16="http://schemas.microsoft.com/office/drawing/2014/main" id="{E6420CD3-9A15-4375-986D-9C82AF9B90B6}"/>
            </a:ext>
          </a:extLst>
        </xdr:cNvPr>
        <xdr:cNvSpPr/>
      </xdr:nvSpPr>
      <xdr:spPr>
        <a:xfrm>
          <a:off x="0" y="0"/>
          <a:ext cx="13350100" cy="16570890"/>
        </a:xfrm>
        <a:prstGeom prst="roundRect">
          <a:avLst>
            <a:gd name="adj" fmla="val 3024"/>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2800" b="1"/>
            <a:t>                              SALES DATA DASHBOARD</a:t>
          </a:r>
        </a:p>
      </xdr:txBody>
    </xdr:sp>
    <xdr:clientData/>
  </xdr:twoCellAnchor>
  <xdr:twoCellAnchor>
    <xdr:from>
      <xdr:col>4</xdr:col>
      <xdr:colOff>38100</xdr:colOff>
      <xdr:row>7</xdr:row>
      <xdr:rowOff>127000</xdr:rowOff>
    </xdr:from>
    <xdr:to>
      <xdr:col>6</xdr:col>
      <xdr:colOff>577850</xdr:colOff>
      <xdr:row>12</xdr:row>
      <xdr:rowOff>69850</xdr:rowOff>
    </xdr:to>
    <xdr:sp macro="" textlink="">
      <xdr:nvSpPr>
        <xdr:cNvPr id="3" name="Rectangle: Rounded Corners 2">
          <a:extLst>
            <a:ext uri="{FF2B5EF4-FFF2-40B4-BE49-F238E27FC236}">
              <a16:creationId xmlns:a16="http://schemas.microsoft.com/office/drawing/2014/main" id="{27BDFF24-B0B2-4D24-8768-26C6DC651A0D}"/>
            </a:ext>
          </a:extLst>
        </xdr:cNvPr>
        <xdr:cNvSpPr/>
      </xdr:nvSpPr>
      <xdr:spPr>
        <a:xfrm>
          <a:off x="2476500" y="1416050"/>
          <a:ext cx="1758950" cy="86360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200" b="1"/>
            <a:t>              Total Sales</a:t>
          </a:r>
        </a:p>
      </xdr:txBody>
    </xdr:sp>
    <xdr:clientData/>
  </xdr:twoCellAnchor>
  <xdr:twoCellAnchor>
    <xdr:from>
      <xdr:col>7</xdr:col>
      <xdr:colOff>139700</xdr:colOff>
      <xdr:row>7</xdr:row>
      <xdr:rowOff>114300</xdr:rowOff>
    </xdr:from>
    <xdr:to>
      <xdr:col>10</xdr:col>
      <xdr:colOff>69850</xdr:colOff>
      <xdr:row>12</xdr:row>
      <xdr:rowOff>50800</xdr:rowOff>
    </xdr:to>
    <xdr:sp macro="" textlink="">
      <xdr:nvSpPr>
        <xdr:cNvPr id="5" name="Rectangle: Rounded Corners 4">
          <a:extLst>
            <a:ext uri="{FF2B5EF4-FFF2-40B4-BE49-F238E27FC236}">
              <a16:creationId xmlns:a16="http://schemas.microsoft.com/office/drawing/2014/main" id="{B10E3EA6-52AB-4918-8E5B-760A0909B232}"/>
            </a:ext>
          </a:extLst>
        </xdr:cNvPr>
        <xdr:cNvSpPr/>
      </xdr:nvSpPr>
      <xdr:spPr>
        <a:xfrm>
          <a:off x="4406900" y="1403350"/>
          <a:ext cx="1758950" cy="8572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t>            Total </a:t>
          </a:r>
          <a:r>
            <a:rPr lang="en-US" sz="1400" b="1" baseline="0"/>
            <a:t>Profit </a:t>
          </a:r>
          <a:endParaRPr lang="en-US" sz="1400" b="1"/>
        </a:p>
      </xdr:txBody>
    </xdr:sp>
    <xdr:clientData/>
  </xdr:twoCellAnchor>
  <xdr:twoCellAnchor>
    <xdr:from>
      <xdr:col>10</xdr:col>
      <xdr:colOff>228600</xdr:colOff>
      <xdr:row>7</xdr:row>
      <xdr:rowOff>114300</xdr:rowOff>
    </xdr:from>
    <xdr:to>
      <xdr:col>13</xdr:col>
      <xdr:colOff>158750</xdr:colOff>
      <xdr:row>12</xdr:row>
      <xdr:rowOff>76200</xdr:rowOff>
    </xdr:to>
    <xdr:sp macro="" textlink="">
      <xdr:nvSpPr>
        <xdr:cNvPr id="6" name="Rectangle: Rounded Corners 5">
          <a:extLst>
            <a:ext uri="{FF2B5EF4-FFF2-40B4-BE49-F238E27FC236}">
              <a16:creationId xmlns:a16="http://schemas.microsoft.com/office/drawing/2014/main" id="{DB410F83-352A-4797-841E-06068340E6B2}"/>
            </a:ext>
          </a:extLst>
        </xdr:cNvPr>
        <xdr:cNvSpPr/>
      </xdr:nvSpPr>
      <xdr:spPr>
        <a:xfrm>
          <a:off x="6324600" y="1403350"/>
          <a:ext cx="1758950" cy="88265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t>       Total</a:t>
          </a:r>
          <a:r>
            <a:rPr lang="en-US" sz="1400" b="1" baseline="0"/>
            <a:t> Quantity</a:t>
          </a:r>
          <a:endParaRPr lang="en-US" sz="1400" b="1"/>
        </a:p>
      </xdr:txBody>
    </xdr:sp>
    <xdr:clientData/>
  </xdr:twoCellAnchor>
  <xdr:twoCellAnchor>
    <xdr:from>
      <xdr:col>13</xdr:col>
      <xdr:colOff>333728</xdr:colOff>
      <xdr:row>7</xdr:row>
      <xdr:rowOff>97720</xdr:rowOff>
    </xdr:from>
    <xdr:to>
      <xdr:col>16</xdr:col>
      <xdr:colOff>537986</xdr:colOff>
      <xdr:row>12</xdr:row>
      <xdr:rowOff>85020</xdr:rowOff>
    </xdr:to>
    <xdr:sp macro="" textlink="">
      <xdr:nvSpPr>
        <xdr:cNvPr id="7" name="Rectangle: Rounded Corners 6">
          <a:extLst>
            <a:ext uri="{FF2B5EF4-FFF2-40B4-BE49-F238E27FC236}">
              <a16:creationId xmlns:a16="http://schemas.microsoft.com/office/drawing/2014/main" id="{ADC62957-6F9B-4CB9-BAC2-309E90B67046}"/>
            </a:ext>
          </a:extLst>
        </xdr:cNvPr>
        <xdr:cNvSpPr/>
      </xdr:nvSpPr>
      <xdr:spPr>
        <a:xfrm>
          <a:off x="8244770" y="1394178"/>
          <a:ext cx="2029883" cy="913342"/>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100"/>
            <a:t> </a:t>
          </a:r>
          <a:r>
            <a:rPr lang="en-US" sz="1400" b="1"/>
            <a:t>Average Profit</a:t>
          </a:r>
          <a:r>
            <a:rPr lang="en-US" sz="1400" b="1" baseline="0"/>
            <a:t> </a:t>
          </a:r>
          <a:r>
            <a:rPr lang="en-US" sz="1400" b="1"/>
            <a:t>Margin</a:t>
          </a:r>
          <a:endParaRPr lang="en-US" sz="1100" b="1"/>
        </a:p>
      </xdr:txBody>
    </xdr:sp>
    <xdr:clientData/>
  </xdr:twoCellAnchor>
  <xdr:twoCellAnchor>
    <xdr:from>
      <xdr:col>17</xdr:col>
      <xdr:colOff>144286</xdr:colOff>
      <xdr:row>7</xdr:row>
      <xdr:rowOff>120296</xdr:rowOff>
    </xdr:from>
    <xdr:to>
      <xdr:col>20</xdr:col>
      <xdr:colOff>74436</xdr:colOff>
      <xdr:row>12</xdr:row>
      <xdr:rowOff>69496</xdr:rowOff>
    </xdr:to>
    <xdr:sp macro="" textlink="">
      <xdr:nvSpPr>
        <xdr:cNvPr id="8" name="Rectangle: Rounded Corners 7">
          <a:extLst>
            <a:ext uri="{FF2B5EF4-FFF2-40B4-BE49-F238E27FC236}">
              <a16:creationId xmlns:a16="http://schemas.microsoft.com/office/drawing/2014/main" id="{CD511BDE-21E1-4E67-8794-C1506C84EF03}"/>
            </a:ext>
          </a:extLst>
        </xdr:cNvPr>
        <xdr:cNvSpPr/>
      </xdr:nvSpPr>
      <xdr:spPr>
        <a:xfrm>
          <a:off x="10489494" y="1416754"/>
          <a:ext cx="1755775" cy="875242"/>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t>          Total</a:t>
          </a:r>
          <a:r>
            <a:rPr lang="en-US" sz="1400" b="1" baseline="0"/>
            <a:t> Order</a:t>
          </a:r>
          <a:endParaRPr lang="en-US" sz="1400" b="1"/>
        </a:p>
      </xdr:txBody>
    </xdr:sp>
    <xdr:clientData/>
  </xdr:twoCellAnchor>
  <xdr:twoCellAnchor editAs="oneCell">
    <xdr:from>
      <xdr:col>7</xdr:col>
      <xdr:colOff>384590</xdr:colOff>
      <xdr:row>13</xdr:row>
      <xdr:rowOff>175868</xdr:rowOff>
    </xdr:from>
    <xdr:to>
      <xdr:col>10</xdr:col>
      <xdr:colOff>473821</xdr:colOff>
      <xdr:row>20</xdr:row>
      <xdr:rowOff>93317</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A44AB838-C435-4066-BCCA-1E414799B07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644382" y="2583576"/>
              <a:ext cx="1914856" cy="1213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345937</xdr:colOff>
      <xdr:row>13</xdr:row>
      <xdr:rowOff>114577</xdr:rowOff>
    </xdr:from>
    <xdr:to>
      <xdr:col>20</xdr:col>
      <xdr:colOff>307837</xdr:colOff>
      <xdr:row>22</xdr:row>
      <xdr:rowOff>27609</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DF6CF81C-DACE-47F3-9E2E-3E5E82E21F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691145" y="2522285"/>
              <a:ext cx="1787525" cy="1579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109822</xdr:colOff>
      <xdr:row>14</xdr:row>
      <xdr:rowOff>32364</xdr:rowOff>
    </xdr:from>
    <xdr:to>
      <xdr:col>7</xdr:col>
      <xdr:colOff>114653</xdr:colOff>
      <xdr:row>19</xdr:row>
      <xdr:rowOff>61737</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EC6F81AE-C724-4B7F-A266-10EAA02F82D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543989" y="2625281"/>
              <a:ext cx="1830456" cy="955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53008</xdr:colOff>
      <xdr:row>13</xdr:row>
      <xdr:rowOff>116233</xdr:rowOff>
    </xdr:from>
    <xdr:to>
      <xdr:col>14</xdr:col>
      <xdr:colOff>53008</xdr:colOff>
      <xdr:row>22</xdr:row>
      <xdr:rowOff>0</xdr:rowOff>
    </xdr:to>
    <mc:AlternateContent xmlns:mc="http://schemas.openxmlformats.org/markup-compatibility/2006" xmlns:a14="http://schemas.microsoft.com/office/drawing/2010/main">
      <mc:Choice Requires="a14">
        <xdr:graphicFrame macro="">
          <xdr:nvGraphicFramePr>
            <xdr:cNvPr id="12" name="Product 1">
              <a:extLst>
                <a:ext uri="{FF2B5EF4-FFF2-40B4-BE49-F238E27FC236}">
                  <a16:creationId xmlns:a16="http://schemas.microsoft.com/office/drawing/2014/main" id="{C816DE7A-CAF0-42E6-BFD4-1FD6F1D783B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746966" y="2523941"/>
              <a:ext cx="1825625" cy="1509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244061</xdr:colOff>
      <xdr:row>13</xdr:row>
      <xdr:rowOff>120651</xdr:rowOff>
    </xdr:from>
    <xdr:to>
      <xdr:col>17</xdr:col>
      <xdr:colOff>244061</xdr:colOff>
      <xdr:row>22</xdr:row>
      <xdr:rowOff>19243</xdr:rowOff>
    </xdr:to>
    <mc:AlternateContent xmlns:mc="http://schemas.openxmlformats.org/markup-compatibility/2006" xmlns:a14="http://schemas.microsoft.com/office/drawing/2010/main">
      <mc:Choice Requires="a14">
        <xdr:graphicFrame macro="">
          <xdr:nvGraphicFramePr>
            <xdr:cNvPr id="13" name="Payment_Mode 1">
              <a:extLst>
                <a:ext uri="{FF2B5EF4-FFF2-40B4-BE49-F238E27FC236}">
                  <a16:creationId xmlns:a16="http://schemas.microsoft.com/office/drawing/2014/main" id="{2C916370-B35D-46D8-8DB4-73EA5EA6284C}"/>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8763644" y="2528359"/>
              <a:ext cx="1825625" cy="1679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54610</xdr:colOff>
      <xdr:row>9</xdr:row>
      <xdr:rowOff>147320</xdr:rowOff>
    </xdr:from>
    <xdr:to>
      <xdr:col>6</xdr:col>
      <xdr:colOff>365760</xdr:colOff>
      <xdr:row>11</xdr:row>
      <xdr:rowOff>64770</xdr:rowOff>
    </xdr:to>
    <xdr:sp macro="" textlink="'Pivot Table'!A5">
      <xdr:nvSpPr>
        <xdr:cNvPr id="14" name="TextBox 13">
          <a:extLst>
            <a:ext uri="{FF2B5EF4-FFF2-40B4-BE49-F238E27FC236}">
              <a16:creationId xmlns:a16="http://schemas.microsoft.com/office/drawing/2014/main" id="{653A96F5-DC34-4A2C-9101-43FC329FC115}"/>
            </a:ext>
          </a:extLst>
        </xdr:cNvPr>
        <xdr:cNvSpPr txBox="1"/>
      </xdr:nvSpPr>
      <xdr:spPr>
        <a:xfrm>
          <a:off x="3102610" y="1793240"/>
          <a:ext cx="920750" cy="283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5467EA-F4AE-43DB-A93D-78CA290BDE13}" type="TxLink">
            <a:rPr lang="en-US" sz="1100" b="0" i="0" u="none" strike="noStrike">
              <a:solidFill>
                <a:srgbClr val="000000"/>
              </a:solidFill>
              <a:latin typeface="Calibri"/>
              <a:ea typeface="Calibri"/>
              <a:cs typeface="Calibri"/>
            </a:rPr>
            <a:pPr/>
            <a:t>₹2,629,365</a:t>
          </a:fld>
          <a:endParaRPr lang="en-US" sz="1100"/>
        </a:p>
      </xdr:txBody>
    </xdr:sp>
    <xdr:clientData/>
  </xdr:twoCellAnchor>
  <xdr:twoCellAnchor>
    <xdr:from>
      <xdr:col>8</xdr:col>
      <xdr:colOff>133350</xdr:colOff>
      <xdr:row>9</xdr:row>
      <xdr:rowOff>127000</xdr:rowOff>
    </xdr:from>
    <xdr:to>
      <xdr:col>9</xdr:col>
      <xdr:colOff>406400</xdr:colOff>
      <xdr:row>11</xdr:row>
      <xdr:rowOff>6350</xdr:rowOff>
    </xdr:to>
    <xdr:sp macro="" textlink="'Pivot Table'!A8">
      <xdr:nvSpPr>
        <xdr:cNvPr id="15" name="TextBox 14">
          <a:extLst>
            <a:ext uri="{FF2B5EF4-FFF2-40B4-BE49-F238E27FC236}">
              <a16:creationId xmlns:a16="http://schemas.microsoft.com/office/drawing/2014/main" id="{BF7DA582-3361-4F2D-98D0-0389CB662488}"/>
            </a:ext>
          </a:extLst>
        </xdr:cNvPr>
        <xdr:cNvSpPr txBox="1"/>
      </xdr:nvSpPr>
      <xdr:spPr>
        <a:xfrm>
          <a:off x="5010150" y="1784350"/>
          <a:ext cx="882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D8D2CD-BC91-489B-847D-774BA502C453}" type="TxLink">
            <a:rPr lang="en-US" sz="1100" b="0" i="0" u="none" strike="noStrike">
              <a:solidFill>
                <a:srgbClr val="000000"/>
              </a:solidFill>
              <a:latin typeface="Calibri"/>
              <a:ea typeface="Calibri"/>
              <a:cs typeface="Calibri"/>
            </a:rPr>
            <a:pPr/>
            <a:t>₹780,004</a:t>
          </a:fld>
          <a:endParaRPr lang="en-US" sz="1100"/>
        </a:p>
      </xdr:txBody>
    </xdr:sp>
    <xdr:clientData/>
  </xdr:twoCellAnchor>
  <xdr:twoCellAnchor>
    <xdr:from>
      <xdr:col>11</xdr:col>
      <xdr:colOff>273050</xdr:colOff>
      <xdr:row>9</xdr:row>
      <xdr:rowOff>120650</xdr:rowOff>
    </xdr:from>
    <xdr:to>
      <xdr:col>12</xdr:col>
      <xdr:colOff>457200</xdr:colOff>
      <xdr:row>10</xdr:row>
      <xdr:rowOff>177800</xdr:rowOff>
    </xdr:to>
    <xdr:sp macro="" textlink="'Pivot Table'!A11">
      <xdr:nvSpPr>
        <xdr:cNvPr id="16" name="TextBox 15">
          <a:extLst>
            <a:ext uri="{FF2B5EF4-FFF2-40B4-BE49-F238E27FC236}">
              <a16:creationId xmlns:a16="http://schemas.microsoft.com/office/drawing/2014/main" id="{81F7709C-A3E5-4060-AD8E-D4C870C66AC0}"/>
            </a:ext>
          </a:extLst>
        </xdr:cNvPr>
        <xdr:cNvSpPr txBox="1"/>
      </xdr:nvSpPr>
      <xdr:spPr>
        <a:xfrm>
          <a:off x="6978650" y="1778000"/>
          <a:ext cx="7937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0A7165-7F8B-4130-B16E-3C9451B7A6D5}" type="TxLink">
            <a:rPr lang="en-US" sz="1100" b="0" i="0" u="none" strike="noStrike">
              <a:solidFill>
                <a:srgbClr val="000000"/>
              </a:solidFill>
              <a:latin typeface="Calibri"/>
              <a:ea typeface="Calibri"/>
              <a:cs typeface="Calibri"/>
            </a:rPr>
            <a:pPr/>
            <a:t>₹219</a:t>
          </a:fld>
          <a:endParaRPr lang="en-US" sz="1100"/>
        </a:p>
      </xdr:txBody>
    </xdr:sp>
    <xdr:clientData/>
  </xdr:twoCellAnchor>
  <xdr:twoCellAnchor>
    <xdr:from>
      <xdr:col>14</xdr:col>
      <xdr:colOff>247650</xdr:colOff>
      <xdr:row>9</xdr:row>
      <xdr:rowOff>133350</xdr:rowOff>
    </xdr:from>
    <xdr:to>
      <xdr:col>15</xdr:col>
      <xdr:colOff>431800</xdr:colOff>
      <xdr:row>11</xdr:row>
      <xdr:rowOff>25400</xdr:rowOff>
    </xdr:to>
    <xdr:sp macro="" textlink="'Pivot Table'!A14">
      <xdr:nvSpPr>
        <xdr:cNvPr id="17" name="TextBox 16">
          <a:extLst>
            <a:ext uri="{FF2B5EF4-FFF2-40B4-BE49-F238E27FC236}">
              <a16:creationId xmlns:a16="http://schemas.microsoft.com/office/drawing/2014/main" id="{36E6098F-ADDD-40ED-8B0F-54770F5A50BC}"/>
            </a:ext>
          </a:extLst>
        </xdr:cNvPr>
        <xdr:cNvSpPr txBox="1"/>
      </xdr:nvSpPr>
      <xdr:spPr>
        <a:xfrm>
          <a:off x="8782050" y="1790700"/>
          <a:ext cx="7937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74657A-0BB2-4796-A059-530310A4F017}" type="TxLink">
            <a:rPr lang="en-US" sz="1100" b="0" i="0" u="none" strike="noStrike">
              <a:solidFill>
                <a:srgbClr val="000000"/>
              </a:solidFill>
              <a:latin typeface="Calibri"/>
              <a:ea typeface="Calibri"/>
              <a:cs typeface="Calibri"/>
            </a:rPr>
            <a:pPr/>
            <a:t>0.2885134</a:t>
          </a:fld>
          <a:endParaRPr lang="en-US" sz="1100"/>
        </a:p>
      </xdr:txBody>
    </xdr:sp>
    <xdr:clientData/>
  </xdr:twoCellAnchor>
  <xdr:twoCellAnchor>
    <xdr:from>
      <xdr:col>18</xdr:col>
      <xdr:colOff>293511</xdr:colOff>
      <xdr:row>9</xdr:row>
      <xdr:rowOff>129823</xdr:rowOff>
    </xdr:from>
    <xdr:to>
      <xdr:col>20</xdr:col>
      <xdr:colOff>38454</xdr:colOff>
      <xdr:row>10</xdr:row>
      <xdr:rowOff>175332</xdr:rowOff>
    </xdr:to>
    <xdr:sp macro="" textlink="'Pivot Table'!A17">
      <xdr:nvSpPr>
        <xdr:cNvPr id="18" name="TextBox 17">
          <a:extLst>
            <a:ext uri="{FF2B5EF4-FFF2-40B4-BE49-F238E27FC236}">
              <a16:creationId xmlns:a16="http://schemas.microsoft.com/office/drawing/2014/main" id="{8B81F1BB-1F6E-483B-9DAE-2115925A9252}"/>
            </a:ext>
          </a:extLst>
        </xdr:cNvPr>
        <xdr:cNvSpPr txBox="1"/>
      </xdr:nvSpPr>
      <xdr:spPr>
        <a:xfrm>
          <a:off x="11266311" y="1787173"/>
          <a:ext cx="964143" cy="22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4DD586-8ADD-4026-9AE4-6681B99D9271}" type="TxLink">
            <a:rPr lang="en-US" sz="1100" b="0" i="0" u="none" strike="noStrike">
              <a:solidFill>
                <a:srgbClr val="000000"/>
              </a:solidFill>
              <a:latin typeface="Calibri"/>
              <a:ea typeface="Calibri"/>
              <a:cs typeface="Calibri"/>
            </a:rPr>
            <a:pPr/>
            <a:t>80</a:t>
          </a:fld>
          <a:endParaRPr lang="en-US" sz="1100"/>
        </a:p>
      </xdr:txBody>
    </xdr:sp>
    <xdr:clientData/>
  </xdr:twoCellAnchor>
  <xdr:twoCellAnchor>
    <xdr:from>
      <xdr:col>4</xdr:col>
      <xdr:colOff>41182</xdr:colOff>
      <xdr:row>25</xdr:row>
      <xdr:rowOff>96921</xdr:rowOff>
    </xdr:from>
    <xdr:to>
      <xdr:col>12</xdr:col>
      <xdr:colOff>533400</xdr:colOff>
      <xdr:row>40</xdr:row>
      <xdr:rowOff>61996</xdr:rowOff>
    </xdr:to>
    <xdr:graphicFrame macro="">
      <xdr:nvGraphicFramePr>
        <xdr:cNvPr id="19" name="Chart 18">
          <a:extLst>
            <a:ext uri="{FF2B5EF4-FFF2-40B4-BE49-F238E27FC236}">
              <a16:creationId xmlns:a16="http://schemas.microsoft.com/office/drawing/2014/main" id="{15168685-C96F-4810-81A2-9F8C8A92F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219099</xdr:colOff>
      <xdr:row>25</xdr:row>
      <xdr:rowOff>69123</xdr:rowOff>
    </xdr:from>
    <xdr:to>
      <xdr:col>21</xdr:col>
      <xdr:colOff>105646</xdr:colOff>
      <xdr:row>40</xdr:row>
      <xdr:rowOff>34407</xdr:rowOff>
    </xdr:to>
    <xdr:graphicFrame macro="">
      <xdr:nvGraphicFramePr>
        <xdr:cNvPr id="20" name="Chart 19">
          <a:extLst>
            <a:ext uri="{FF2B5EF4-FFF2-40B4-BE49-F238E27FC236}">
              <a16:creationId xmlns:a16="http://schemas.microsoft.com/office/drawing/2014/main" id="{0CBE3FE1-16AA-4A44-90A0-083F0F0C4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50799</xdr:colOff>
      <xdr:row>41</xdr:row>
      <xdr:rowOff>78408</xdr:rowOff>
    </xdr:from>
    <xdr:to>
      <xdr:col>12</xdr:col>
      <xdr:colOff>538480</xdr:colOff>
      <xdr:row>56</xdr:row>
      <xdr:rowOff>43483</xdr:rowOff>
    </xdr:to>
    <xdr:graphicFrame macro="">
      <xdr:nvGraphicFramePr>
        <xdr:cNvPr id="22" name="Chart 21">
          <a:extLst>
            <a:ext uri="{FF2B5EF4-FFF2-40B4-BE49-F238E27FC236}">
              <a16:creationId xmlns:a16="http://schemas.microsoft.com/office/drawing/2014/main" id="{58A2DD46-81F9-4BE5-8CAC-050BF28B6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233456</xdr:colOff>
      <xdr:row>41</xdr:row>
      <xdr:rowOff>54469</xdr:rowOff>
    </xdr:from>
    <xdr:to>
      <xdr:col>21</xdr:col>
      <xdr:colOff>120003</xdr:colOff>
      <xdr:row>56</xdr:row>
      <xdr:rowOff>19544</xdr:rowOff>
    </xdr:to>
    <xdr:graphicFrame macro="">
      <xdr:nvGraphicFramePr>
        <xdr:cNvPr id="23" name="Chart 22">
          <a:extLst>
            <a:ext uri="{FF2B5EF4-FFF2-40B4-BE49-F238E27FC236}">
              <a16:creationId xmlns:a16="http://schemas.microsoft.com/office/drawing/2014/main" id="{4D522431-03E0-43C7-846B-57D05B3D7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35891</xdr:colOff>
      <xdr:row>57</xdr:row>
      <xdr:rowOff>133625</xdr:rowOff>
    </xdr:from>
    <xdr:to>
      <xdr:col>12</xdr:col>
      <xdr:colOff>553720</xdr:colOff>
      <xdr:row>72</xdr:row>
      <xdr:rowOff>98700</xdr:rowOff>
    </xdr:to>
    <xdr:graphicFrame macro="">
      <xdr:nvGraphicFramePr>
        <xdr:cNvPr id="24" name="Chart 23">
          <a:extLst>
            <a:ext uri="{FF2B5EF4-FFF2-40B4-BE49-F238E27FC236}">
              <a16:creationId xmlns:a16="http://schemas.microsoft.com/office/drawing/2014/main" id="{1E64DB03-EE43-43B4-8C51-A502100B2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251137</xdr:colOff>
      <xdr:row>57</xdr:row>
      <xdr:rowOff>131274</xdr:rowOff>
    </xdr:from>
    <xdr:to>
      <xdr:col>21</xdr:col>
      <xdr:colOff>137684</xdr:colOff>
      <xdr:row>72</xdr:row>
      <xdr:rowOff>96349</xdr:rowOff>
    </xdr:to>
    <xdr:graphicFrame macro="">
      <xdr:nvGraphicFramePr>
        <xdr:cNvPr id="25" name="Chart 24">
          <a:extLst>
            <a:ext uri="{FF2B5EF4-FFF2-40B4-BE49-F238E27FC236}">
              <a16:creationId xmlns:a16="http://schemas.microsoft.com/office/drawing/2014/main" id="{713EECE5-4F7C-4ABC-BF16-8A9A75D53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249598</xdr:colOff>
      <xdr:row>73</xdr:row>
      <xdr:rowOff>166700</xdr:rowOff>
    </xdr:from>
    <xdr:to>
      <xdr:col>21</xdr:col>
      <xdr:colOff>136144</xdr:colOff>
      <xdr:row>88</xdr:row>
      <xdr:rowOff>134313</xdr:rowOff>
    </xdr:to>
    <xdr:graphicFrame macro="">
      <xdr:nvGraphicFramePr>
        <xdr:cNvPr id="26" name="Chart 25">
          <a:extLst>
            <a:ext uri="{FF2B5EF4-FFF2-40B4-BE49-F238E27FC236}">
              <a16:creationId xmlns:a16="http://schemas.microsoft.com/office/drawing/2014/main" id="{6001D289-9ACA-4C37-9EF7-3608573B4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79979</xdr:colOff>
      <xdr:row>0</xdr:row>
      <xdr:rowOff>27667</xdr:rowOff>
    </xdr:from>
    <xdr:to>
      <xdr:col>3</xdr:col>
      <xdr:colOff>529770</xdr:colOff>
      <xdr:row>90</xdr:row>
      <xdr:rowOff>17397</xdr:rowOff>
    </xdr:to>
    <xdr:sp macro="" textlink="">
      <xdr:nvSpPr>
        <xdr:cNvPr id="27" name="Rectangle: Rounded Corners 26">
          <a:extLst>
            <a:ext uri="{FF2B5EF4-FFF2-40B4-BE49-F238E27FC236}">
              <a16:creationId xmlns:a16="http://schemas.microsoft.com/office/drawing/2014/main" id="{63456DB2-94F3-4B3E-A625-B7FC0C468F6D}"/>
            </a:ext>
          </a:extLst>
        </xdr:cNvPr>
        <xdr:cNvSpPr/>
      </xdr:nvSpPr>
      <xdr:spPr>
        <a:xfrm>
          <a:off x="79979" y="27667"/>
          <a:ext cx="2276503" cy="16430141"/>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273402</xdr:colOff>
      <xdr:row>19</xdr:row>
      <xdr:rowOff>167568</xdr:rowOff>
    </xdr:from>
    <xdr:to>
      <xdr:col>3</xdr:col>
      <xdr:colOff>368017</xdr:colOff>
      <xdr:row>22</xdr:row>
      <xdr:rowOff>160583</xdr:rowOff>
    </xdr:to>
    <xdr:sp macro="" textlink="">
      <xdr:nvSpPr>
        <xdr:cNvPr id="28" name="Rectangle: Rounded Corners 27">
          <a:hlinkClick xmlns:r="http://schemas.openxmlformats.org/officeDocument/2006/relationships" r:id="rId8"/>
          <a:extLst>
            <a:ext uri="{FF2B5EF4-FFF2-40B4-BE49-F238E27FC236}">
              <a16:creationId xmlns:a16="http://schemas.microsoft.com/office/drawing/2014/main" id="{834B5205-4DA1-4AEF-9FE3-DF11B818510D}"/>
            </a:ext>
          </a:extLst>
        </xdr:cNvPr>
        <xdr:cNvSpPr/>
      </xdr:nvSpPr>
      <xdr:spPr>
        <a:xfrm>
          <a:off x="273402" y="3686526"/>
          <a:ext cx="1920240" cy="54864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US" sz="2000" b="1"/>
            <a:t>    Dashboard</a:t>
          </a:r>
        </a:p>
      </xdr:txBody>
    </xdr:sp>
    <xdr:clientData/>
  </xdr:twoCellAnchor>
  <xdr:twoCellAnchor>
    <xdr:from>
      <xdr:col>0</xdr:col>
      <xdr:colOff>246944</xdr:colOff>
      <xdr:row>25</xdr:row>
      <xdr:rowOff>158750</xdr:rowOff>
    </xdr:from>
    <xdr:to>
      <xdr:col>3</xdr:col>
      <xdr:colOff>343958</xdr:colOff>
      <xdr:row>28</xdr:row>
      <xdr:rowOff>151765</xdr:rowOff>
    </xdr:to>
    <xdr:sp macro="" textlink="">
      <xdr:nvSpPr>
        <xdr:cNvPr id="29" name="Rectangle: Rounded Corners 28">
          <a:hlinkClick xmlns:r="http://schemas.openxmlformats.org/officeDocument/2006/relationships" r:id="rId9"/>
          <a:extLst>
            <a:ext uri="{FF2B5EF4-FFF2-40B4-BE49-F238E27FC236}">
              <a16:creationId xmlns:a16="http://schemas.microsoft.com/office/drawing/2014/main" id="{1749ADE5-2544-4170-AA89-460EE4BFEB31}"/>
            </a:ext>
          </a:extLst>
        </xdr:cNvPr>
        <xdr:cNvSpPr/>
      </xdr:nvSpPr>
      <xdr:spPr>
        <a:xfrm>
          <a:off x="246944" y="4788958"/>
          <a:ext cx="1922639" cy="548640"/>
        </a:xfrm>
        <a:prstGeom prst="roundRect">
          <a:avLst/>
        </a:prstGeom>
        <a:ln>
          <a:solidFill>
            <a:schemeClr val="accent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2000" b="1"/>
            <a:t>          Data</a:t>
          </a:r>
        </a:p>
      </xdr:txBody>
    </xdr:sp>
    <xdr:clientData/>
  </xdr:twoCellAnchor>
  <xdr:twoCellAnchor>
    <xdr:from>
      <xdr:col>0</xdr:col>
      <xdr:colOff>267053</xdr:colOff>
      <xdr:row>32</xdr:row>
      <xdr:rowOff>28927</xdr:rowOff>
    </xdr:from>
    <xdr:to>
      <xdr:col>3</xdr:col>
      <xdr:colOff>364067</xdr:colOff>
      <xdr:row>35</xdr:row>
      <xdr:rowOff>81844</xdr:rowOff>
    </xdr:to>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9715CDBD-B201-4AAF-9A6D-4A2DBEC2D7BB}"/>
            </a:ext>
          </a:extLst>
        </xdr:cNvPr>
        <xdr:cNvSpPr/>
      </xdr:nvSpPr>
      <xdr:spPr>
        <a:xfrm>
          <a:off x="267053" y="5955594"/>
          <a:ext cx="1922639" cy="608542"/>
        </a:xfrm>
        <a:prstGeom prst="roundRect">
          <a:avLst/>
        </a:prstGeom>
        <a:ln>
          <a:solidFill>
            <a:schemeClr val="accent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2000" b="1"/>
            <a:t>       Analysis</a:t>
          </a:r>
        </a:p>
      </xdr:txBody>
    </xdr:sp>
    <xdr:clientData/>
  </xdr:twoCellAnchor>
  <xdr:twoCellAnchor>
    <xdr:from>
      <xdr:col>0</xdr:col>
      <xdr:colOff>251884</xdr:colOff>
      <xdr:row>39</xdr:row>
      <xdr:rowOff>22577</xdr:rowOff>
    </xdr:from>
    <xdr:to>
      <xdr:col>3</xdr:col>
      <xdr:colOff>348898</xdr:colOff>
      <xdr:row>42</xdr:row>
      <xdr:rowOff>75494</xdr:rowOff>
    </xdr:to>
    <xdr:sp macro="" textlink="">
      <xdr:nvSpPr>
        <xdr:cNvPr id="31" name="Rectangle: Rounded Corners 30">
          <a:hlinkClick xmlns:r="http://schemas.openxmlformats.org/officeDocument/2006/relationships" r:id="rId11"/>
          <a:extLst>
            <a:ext uri="{FF2B5EF4-FFF2-40B4-BE49-F238E27FC236}">
              <a16:creationId xmlns:a16="http://schemas.microsoft.com/office/drawing/2014/main" id="{816BDB8C-E886-44C9-A171-6256D78D452C}"/>
            </a:ext>
          </a:extLst>
        </xdr:cNvPr>
        <xdr:cNvSpPr/>
      </xdr:nvSpPr>
      <xdr:spPr>
        <a:xfrm>
          <a:off x="251884" y="7245702"/>
          <a:ext cx="1922639" cy="608542"/>
        </a:xfrm>
        <a:prstGeom prst="roundRect">
          <a:avLst/>
        </a:prstGeom>
        <a:ln>
          <a:solidFill>
            <a:schemeClr val="accent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2000" b="1"/>
            <a:t>     Questions</a:t>
          </a:r>
        </a:p>
      </xdr:txBody>
    </xdr:sp>
    <xdr:clientData/>
  </xdr:twoCellAnchor>
  <xdr:twoCellAnchor editAs="oneCell">
    <xdr:from>
      <xdr:col>0</xdr:col>
      <xdr:colOff>370417</xdr:colOff>
      <xdr:row>3</xdr:row>
      <xdr:rowOff>52917</xdr:rowOff>
    </xdr:from>
    <xdr:to>
      <xdr:col>3</xdr:col>
      <xdr:colOff>167569</xdr:colOff>
      <xdr:row>12</xdr:row>
      <xdr:rowOff>158750</xdr:rowOff>
    </xdr:to>
    <xdr:pic>
      <xdr:nvPicPr>
        <xdr:cNvPr id="32" name="Picture 31" descr="Sales .ico PNG Transparent Background, Free Download #18195 - FreeIconsPNG">
          <a:extLst>
            <a:ext uri="{FF2B5EF4-FFF2-40B4-BE49-F238E27FC236}">
              <a16:creationId xmlns:a16="http://schemas.microsoft.com/office/drawing/2014/main" id="{E96C6269-F273-437E-9037-C14C29C9741A}"/>
            </a:ext>
          </a:extLst>
        </xdr:cNvPr>
        <xdr:cNvPicPr>
          <a:picLocks noChangeAspect="1" noChangeArrowheads="1"/>
        </xdr:cNvPicPr>
      </xdr:nvPicPr>
      <xdr:blipFill>
        <a:blip xmlns:r="http://schemas.openxmlformats.org/officeDocument/2006/relationships" r:embed="rId12" cstate="print">
          <a:alphaModFix/>
          <a:duotone>
            <a:prstClr val="black"/>
            <a:schemeClr val="accent3">
              <a:tint val="45000"/>
              <a:satMod val="400000"/>
            </a:schemeClr>
          </a:duotone>
          <a:extLst>
            <a:ext uri="{BEBA8EAE-BF5A-486C-A8C5-ECC9F3942E4B}">
              <a14:imgProps xmlns:a14="http://schemas.microsoft.com/office/drawing/2010/main">
                <a14:imgLayer r:embed="rId13">
                  <a14:imgEffect>
                    <a14:saturation sat="33000"/>
                  </a14:imgEffect>
                </a14:imgLayer>
              </a14:imgProps>
            </a:ext>
            <a:ext uri="{28A0092B-C50C-407E-A947-70E740481C1C}">
              <a14:useLocalDpi xmlns:a14="http://schemas.microsoft.com/office/drawing/2010/main" val="0"/>
            </a:ext>
          </a:extLst>
        </a:blip>
        <a:srcRect/>
        <a:stretch>
          <a:fillRect/>
        </a:stretch>
      </xdr:blipFill>
      <xdr:spPr bwMode="auto">
        <a:xfrm>
          <a:off x="370417" y="608542"/>
          <a:ext cx="1622777" cy="1772708"/>
        </a:xfrm>
        <a:prstGeom prst="rect">
          <a:avLst/>
        </a:prstGeom>
        <a:noFill/>
        <a:ln>
          <a:noFill/>
        </a:ln>
      </xdr:spPr>
    </xdr:pic>
    <xdr:clientData/>
  </xdr:twoCellAnchor>
  <xdr:twoCellAnchor editAs="oneCell">
    <xdr:from>
      <xdr:col>18</xdr:col>
      <xdr:colOff>11339</xdr:colOff>
      <xdr:row>1</xdr:row>
      <xdr:rowOff>8820</xdr:rowOff>
    </xdr:from>
    <xdr:to>
      <xdr:col>20</xdr:col>
      <xdr:colOff>141112</xdr:colOff>
      <xdr:row>6</xdr:row>
      <xdr:rowOff>113393</xdr:rowOff>
    </xdr:to>
    <xdr:pic>
      <xdr:nvPicPr>
        <xdr:cNvPr id="33" name="Picture 32" descr="11,400+ India Finance Illustrations - iStock">
          <a:extLst>
            <a:ext uri="{FF2B5EF4-FFF2-40B4-BE49-F238E27FC236}">
              <a16:creationId xmlns:a16="http://schemas.microsoft.com/office/drawing/2014/main" id="{6856064D-8F24-4676-9617-E303B8800793}"/>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1033125" y="190249"/>
          <a:ext cx="1354416" cy="1011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240061</xdr:colOff>
      <xdr:row>9</xdr:row>
      <xdr:rowOff>50883</xdr:rowOff>
    </xdr:from>
    <xdr:to>
      <xdr:col>8</xdr:col>
      <xdr:colOff>123903</xdr:colOff>
      <xdr:row>11</xdr:row>
      <xdr:rowOff>50405</xdr:rowOff>
    </xdr:to>
    <xdr:pic>
      <xdr:nvPicPr>
        <xdr:cNvPr id="21" name="Graphic 20">
          <a:extLst>
            <a:ext uri="{FF2B5EF4-FFF2-40B4-BE49-F238E27FC236}">
              <a16:creationId xmlns:a16="http://schemas.microsoft.com/office/drawing/2014/main" id="{3465DAB5-F66E-4571-B7D5-CE009AB8ABC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rcRect/>
        <a:stretch/>
      </xdr:blipFill>
      <xdr:spPr>
        <a:xfrm>
          <a:off x="4522439" y="1723566"/>
          <a:ext cx="495610" cy="371229"/>
        </a:xfrm>
        <a:prstGeom prst="rect">
          <a:avLst/>
        </a:prstGeom>
      </xdr:spPr>
    </xdr:pic>
    <xdr:clientData/>
  </xdr:twoCellAnchor>
  <xdr:oneCellAnchor>
    <xdr:from>
      <xdr:col>26</xdr:col>
      <xdr:colOff>0</xdr:colOff>
      <xdr:row>56</xdr:row>
      <xdr:rowOff>94559</xdr:rowOff>
    </xdr:from>
    <xdr:ext cx="5080000" cy="45719"/>
    <xdr:sp macro="" textlink="">
      <xdr:nvSpPr>
        <xdr:cNvPr id="38" name="TextBox 37">
          <a:extLst>
            <a:ext uri="{FF2B5EF4-FFF2-40B4-BE49-F238E27FC236}">
              <a16:creationId xmlns:a16="http://schemas.microsoft.com/office/drawing/2014/main" id="{141D4445-308D-4E4D-B4C1-FD3147E42AA2}"/>
            </a:ext>
          </a:extLst>
        </xdr:cNvPr>
        <xdr:cNvSpPr txBox="1"/>
      </xdr:nvSpPr>
      <xdr:spPr>
        <a:xfrm>
          <a:off x="15905976" y="10502364"/>
          <a:ext cx="5080000"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twoCellAnchor editAs="oneCell">
    <xdr:from>
      <xdr:col>4</xdr:col>
      <xdr:colOff>25400</xdr:colOff>
      <xdr:row>8</xdr:row>
      <xdr:rowOff>171450</xdr:rowOff>
    </xdr:from>
    <xdr:to>
      <xdr:col>5</xdr:col>
      <xdr:colOff>63500</xdr:colOff>
      <xdr:row>11</xdr:row>
      <xdr:rowOff>120650</xdr:rowOff>
    </xdr:to>
    <xdr:pic>
      <xdr:nvPicPr>
        <xdr:cNvPr id="40" name="Graphic 39" descr="Scales of justice with solid fill">
          <a:extLst>
            <a:ext uri="{FF2B5EF4-FFF2-40B4-BE49-F238E27FC236}">
              <a16:creationId xmlns:a16="http://schemas.microsoft.com/office/drawing/2014/main" id="{94FF3166-ADE6-43B0-BE6E-5CB6AFC9A36B}"/>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463800" y="1644650"/>
          <a:ext cx="647700" cy="501650"/>
        </a:xfrm>
        <a:prstGeom prst="rect">
          <a:avLst/>
        </a:prstGeom>
      </xdr:spPr>
    </xdr:pic>
    <xdr:clientData/>
  </xdr:twoCellAnchor>
  <xdr:twoCellAnchor editAs="oneCell">
    <xdr:from>
      <xdr:col>17</xdr:col>
      <xdr:colOff>247650</xdr:colOff>
      <xdr:row>9</xdr:row>
      <xdr:rowOff>25400</xdr:rowOff>
    </xdr:from>
    <xdr:to>
      <xdr:col>18</xdr:col>
      <xdr:colOff>114300</xdr:colOff>
      <xdr:row>12</xdr:row>
      <xdr:rowOff>19050</xdr:rowOff>
    </xdr:to>
    <xdr:pic>
      <xdr:nvPicPr>
        <xdr:cNvPr id="48" name="Graphic 47" descr="Shopping cart with solid fill">
          <a:extLst>
            <a:ext uri="{FF2B5EF4-FFF2-40B4-BE49-F238E27FC236}">
              <a16:creationId xmlns:a16="http://schemas.microsoft.com/office/drawing/2014/main" id="{583EE842-5917-4976-9B76-E749D3159D43}"/>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0610850" y="1682750"/>
          <a:ext cx="476250" cy="546100"/>
        </a:xfrm>
        <a:prstGeom prst="rect">
          <a:avLst/>
        </a:prstGeom>
      </xdr:spPr>
    </xdr:pic>
    <xdr:clientData/>
  </xdr:twoCellAnchor>
  <xdr:twoCellAnchor editAs="oneCell">
    <xdr:from>
      <xdr:col>13</xdr:col>
      <xdr:colOff>372020</xdr:colOff>
      <xdr:row>9</xdr:row>
      <xdr:rowOff>111694</xdr:rowOff>
    </xdr:from>
    <xdr:to>
      <xdr:col>14</xdr:col>
      <xdr:colOff>230909</xdr:colOff>
      <xdr:row>12</xdr:row>
      <xdr:rowOff>0</xdr:rowOff>
    </xdr:to>
    <xdr:pic>
      <xdr:nvPicPr>
        <xdr:cNvPr id="52" name="Graphic 51" descr="Bar graph with upward trend with solid fill">
          <a:extLst>
            <a:ext uri="{FF2B5EF4-FFF2-40B4-BE49-F238E27FC236}">
              <a16:creationId xmlns:a16="http://schemas.microsoft.com/office/drawing/2014/main" id="{866383F7-49E5-4D77-B864-EDE43B2A1F2C}"/>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8293485" y="1785785"/>
          <a:ext cx="468232" cy="446336"/>
        </a:xfrm>
        <a:prstGeom prst="rect">
          <a:avLst/>
        </a:prstGeom>
      </xdr:spPr>
    </xdr:pic>
    <xdr:clientData/>
  </xdr:twoCellAnchor>
  <xdr:twoCellAnchor>
    <xdr:from>
      <xdr:col>4</xdr:col>
      <xdr:colOff>69590</xdr:colOff>
      <xdr:row>73</xdr:row>
      <xdr:rowOff>156576</xdr:rowOff>
    </xdr:from>
    <xdr:to>
      <xdr:col>12</xdr:col>
      <xdr:colOff>582809</xdr:colOff>
      <xdr:row>88</xdr:row>
      <xdr:rowOff>159708</xdr:rowOff>
    </xdr:to>
    <xdr:graphicFrame macro="">
      <xdr:nvGraphicFramePr>
        <xdr:cNvPr id="37" name="Chart 36">
          <a:extLst>
            <a:ext uri="{FF2B5EF4-FFF2-40B4-BE49-F238E27FC236}">
              <a16:creationId xmlns:a16="http://schemas.microsoft.com/office/drawing/2014/main" id="{ACDC97EE-2D04-49AD-9294-DBA9A5864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584200</xdr:colOff>
      <xdr:row>0</xdr:row>
      <xdr:rowOff>107950</xdr:rowOff>
    </xdr:from>
    <xdr:to>
      <xdr:col>19</xdr:col>
      <xdr:colOff>120650</xdr:colOff>
      <xdr:row>5</xdr:row>
      <xdr:rowOff>165100</xdr:rowOff>
    </xdr:to>
    <xdr:sp macro="" textlink="">
      <xdr:nvSpPr>
        <xdr:cNvPr id="2" name="Arrow: Right 1">
          <a:hlinkClick xmlns:r="http://schemas.openxmlformats.org/officeDocument/2006/relationships" r:id="rId1"/>
          <a:extLst>
            <a:ext uri="{FF2B5EF4-FFF2-40B4-BE49-F238E27FC236}">
              <a16:creationId xmlns:a16="http://schemas.microsoft.com/office/drawing/2014/main" id="{42E9B330-2BC6-42F1-AB61-897D2D05AB9E}"/>
            </a:ext>
          </a:extLst>
        </xdr:cNvPr>
        <xdr:cNvSpPr/>
      </xdr:nvSpPr>
      <xdr:spPr>
        <a:xfrm>
          <a:off x="13608050" y="107950"/>
          <a:ext cx="1365250" cy="9779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374650</xdr:colOff>
      <xdr:row>0</xdr:row>
      <xdr:rowOff>406400</xdr:rowOff>
    </xdr:from>
    <xdr:to>
      <xdr:col>8</xdr:col>
      <xdr:colOff>6350</xdr:colOff>
      <xdr:row>2</xdr:row>
      <xdr:rowOff>0</xdr:rowOff>
    </xdr:to>
    <xdr:sp macro="" textlink="">
      <xdr:nvSpPr>
        <xdr:cNvPr id="2" name="Arrow: Right 1">
          <a:hlinkClick xmlns:r="http://schemas.openxmlformats.org/officeDocument/2006/relationships" r:id="rId1"/>
          <a:extLst>
            <a:ext uri="{FF2B5EF4-FFF2-40B4-BE49-F238E27FC236}">
              <a16:creationId xmlns:a16="http://schemas.microsoft.com/office/drawing/2014/main" id="{9225DDDB-B2F5-4EE2-9C1F-81F399224F5C}"/>
            </a:ext>
          </a:extLst>
        </xdr:cNvPr>
        <xdr:cNvSpPr/>
      </xdr:nvSpPr>
      <xdr:spPr>
        <a:xfrm>
          <a:off x="5988050" y="406400"/>
          <a:ext cx="1460500" cy="8826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6.442146643516" createdVersion="7" refreshedVersion="7" minRefreshableVersion="3" recordCount="80" xr:uid="{130A37DA-4BCA-4232-A5B7-87A1FD62CFE8}">
  <cacheSource type="worksheet">
    <worksheetSource ref="A1:P81" sheet="Data"/>
  </cacheSource>
  <cacheFields count="16">
    <cacheField name="Order_ID" numFmtId="0">
      <sharedItems/>
    </cacheField>
    <cacheField name="Order_Date" numFmtId="164">
      <sharedItems containsSemiMixedTypes="0" containsNonDate="0" containsDate="1" containsString="0" minDate="2026-01-01T00:00:00" maxDate="2026-07-01T00:00:00"/>
    </cacheField>
    <cacheField name="Customer" numFmtId="0">
      <sharedItems/>
    </cacheField>
    <cacheField name="Product" numFmtId="0">
      <sharedItems count="6">
        <s v="Monitor"/>
        <s v="Headset"/>
        <s v="Keyboard"/>
        <s v="Mouse"/>
        <s v="Laptop"/>
        <s v="Mouse " u="1"/>
      </sharedItems>
    </cacheField>
    <cacheField name="Category" numFmtId="0">
      <sharedItems count="2">
        <s v="Electronics"/>
        <s v="Accessories"/>
      </sharedItems>
    </cacheField>
    <cacheField name="Region" numFmtId="0">
      <sharedItems count="5">
        <s v="North"/>
        <s v="South"/>
        <s v="East"/>
        <s v="West"/>
        <s v="Unknown"/>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17" maxValue="55499"/>
    </cacheField>
    <cacheField name="Discount_%" numFmtId="0">
      <sharedItems containsSemiMixedTypes="0" containsString="0" containsNumber="1" containsInteger="1" minValue="0" maxValue="15"/>
    </cacheField>
    <cacheField name="Payment_Mode" numFmtId="0">
      <sharedItems count="5">
        <s v="Cash"/>
        <s v="UPI"/>
        <s v="Net Banking"/>
        <s v="Card"/>
        <s v="Card " u="1"/>
      </sharedItems>
    </cacheField>
    <cacheField name="Sales" numFmtId="0">
      <sharedItems containsSemiMixedTypes="0" containsString="0" containsNumber="1" minValue="1045" maxValue="262162"/>
    </cacheField>
    <cacheField name="Cost" numFmtId="0">
      <sharedItems containsSemiMixedTypes="0" containsString="0" containsNumber="1" minValue="676.18" maxValue="204668.87"/>
    </cacheField>
    <cacheField name="Profit" numFmtId="0">
      <sharedItems containsSemiMixedTypes="0" containsString="0" containsNumber="1" minValue="244.13" maxValue="74991.78"/>
    </cacheField>
    <cacheField name="Month" numFmtId="0">
      <sharedItems count="6">
        <s v="Jan"/>
        <s v="Feb"/>
        <s v="Mar"/>
        <s v="Apr"/>
        <s v="May"/>
        <s v="Jun"/>
      </sharedItems>
    </cacheField>
    <cacheField name="Month No" numFmtId="0">
      <sharedItems containsSemiMixedTypes="0" containsString="0" containsNumber="1" containsInteger="1" minValue="1" maxValue="6"/>
    </cacheField>
    <cacheField name="Profit_Margin_%" numFmtId="9">
      <sharedItems containsSemiMixedTypes="0" containsString="0" containsNumber="1" minValue="0.18747002398081536" maxValue="0.37712131361225265"/>
    </cacheField>
  </cacheFields>
  <extLst>
    <ext xmlns:x14="http://schemas.microsoft.com/office/spreadsheetml/2009/9/main" uri="{725AE2AE-9491-48be-B2B4-4EB974FC3084}">
      <x14:pivotCacheDefinition pivotCacheId="16014026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ORD10001"/>
    <d v="2026-01-01T00:00:00"/>
    <s v="C1001"/>
    <x v="0"/>
    <x v="0"/>
    <x v="0"/>
    <n v="3"/>
    <n v="13962"/>
    <n v="0"/>
    <x v="0"/>
    <n v="41886"/>
    <n v="28238.14"/>
    <n v="13647.86"/>
    <x v="0"/>
    <n v="1"/>
    <n v="0.32583345270496111"/>
  </r>
  <r>
    <s v="ORD10002"/>
    <d v="2026-01-03T06:41:01"/>
    <s v="C1002"/>
    <x v="1"/>
    <x v="1"/>
    <x v="0"/>
    <n v="1"/>
    <n v="3480"/>
    <n v="5"/>
    <x v="1"/>
    <n v="3306"/>
    <n v="2339.9699999999998"/>
    <n v="966.03"/>
    <x v="0"/>
    <n v="1"/>
    <n v="0.29220508166969145"/>
  </r>
  <r>
    <s v="ORD10003"/>
    <d v="2026-01-05T13:22:02"/>
    <s v="C1003"/>
    <x v="2"/>
    <x v="1"/>
    <x v="0"/>
    <n v="2"/>
    <n v="2160"/>
    <n v="10"/>
    <x v="0"/>
    <n v="3888"/>
    <n v="2471.5700000000002"/>
    <n v="1416.43"/>
    <x v="0"/>
    <n v="1"/>
    <n v="0.36430812757201647"/>
  </r>
  <r>
    <s v="ORD10004"/>
    <d v="2026-01-07T20:03:02"/>
    <s v="C1004"/>
    <x v="1"/>
    <x v="1"/>
    <x v="1"/>
    <n v="2"/>
    <n v="3379"/>
    <n v="5"/>
    <x v="0"/>
    <n v="6420.1"/>
    <n v="4013.01"/>
    <n v="2407.09"/>
    <x v="0"/>
    <n v="1"/>
    <n v="0.37493029703587172"/>
  </r>
  <r>
    <s v="ORD10005"/>
    <d v="2026-01-10T02:44:03"/>
    <s v="C1005"/>
    <x v="1"/>
    <x v="1"/>
    <x v="0"/>
    <n v="4"/>
    <n v="3197"/>
    <n v="10"/>
    <x v="1"/>
    <n v="11509.2"/>
    <n v="9351.57"/>
    <n v="2157.63"/>
    <x v="0"/>
    <n v="1"/>
    <n v="0.18747002398081536"/>
  </r>
  <r>
    <s v="ORD10006"/>
    <d v="2026-01-12T09:25:04"/>
    <s v="C1006"/>
    <x v="3"/>
    <x v="1"/>
    <x v="0"/>
    <n v="5"/>
    <n v="1276"/>
    <n v="5"/>
    <x v="2"/>
    <n v="6061"/>
    <n v="4771.2"/>
    <n v="1289.8"/>
    <x v="0"/>
    <n v="1"/>
    <n v="0.21280316779409339"/>
  </r>
  <r>
    <s v="ORD10007"/>
    <d v="2026-01-14T16:06:05"/>
    <s v="C1007"/>
    <x v="2"/>
    <x v="1"/>
    <x v="0"/>
    <n v="1"/>
    <n v="2503"/>
    <n v="0"/>
    <x v="1"/>
    <n v="2503"/>
    <n v="1900.26"/>
    <n v="602.74"/>
    <x v="0"/>
    <n v="1"/>
    <n v="0.24080703156212546"/>
  </r>
  <r>
    <s v="ORD10008"/>
    <d v="2026-01-16T22:47:05"/>
    <s v="C1008"/>
    <x v="2"/>
    <x v="1"/>
    <x v="2"/>
    <n v="1"/>
    <n v="2391"/>
    <n v="15"/>
    <x v="2"/>
    <n v="2032.35"/>
    <n v="1426.28"/>
    <n v="606.07000000000005"/>
    <x v="0"/>
    <n v="1"/>
    <n v="0.2982114301178439"/>
  </r>
  <r>
    <s v="ORD10009"/>
    <d v="2026-01-19T05:28:06"/>
    <s v="C1009"/>
    <x v="2"/>
    <x v="1"/>
    <x v="0"/>
    <n v="3"/>
    <n v="2134"/>
    <n v="0"/>
    <x v="1"/>
    <n v="6402"/>
    <n v="4191.13"/>
    <n v="2210.87"/>
    <x v="0"/>
    <n v="1"/>
    <n v="0.34534051858794124"/>
  </r>
  <r>
    <s v="ORD10010"/>
    <d v="2026-01-21T12:09:07"/>
    <s v="C1010"/>
    <x v="1"/>
    <x v="1"/>
    <x v="3"/>
    <n v="2"/>
    <n v="2994"/>
    <n v="15"/>
    <x v="0"/>
    <n v="5089.8"/>
    <n v="3314.92"/>
    <n v="1774.88"/>
    <x v="0"/>
    <n v="1"/>
    <n v="0.34871311249950881"/>
  </r>
  <r>
    <s v="ORD10011"/>
    <d v="2026-01-23T18:50:08"/>
    <s v="C1011"/>
    <x v="0"/>
    <x v="0"/>
    <x v="0"/>
    <n v="5"/>
    <n v="14200"/>
    <n v="5"/>
    <x v="0"/>
    <n v="67450"/>
    <n v="45194.78"/>
    <n v="22255.22"/>
    <x v="0"/>
    <n v="1"/>
    <n v="0.329951371386212"/>
  </r>
  <r>
    <s v="ORD10012"/>
    <d v="2026-01-26T01:31:08"/>
    <s v="C1012"/>
    <x v="2"/>
    <x v="1"/>
    <x v="3"/>
    <n v="4"/>
    <n v="2639"/>
    <n v="10"/>
    <x v="3"/>
    <n v="9500.4"/>
    <n v="6933.82"/>
    <n v="2566.58"/>
    <x v="0"/>
    <n v="1"/>
    <n v="0.27015494084459601"/>
  </r>
  <r>
    <s v="ORD10013"/>
    <d v="2026-01-28T08:12:09"/>
    <s v="C1013"/>
    <x v="1"/>
    <x v="1"/>
    <x v="3"/>
    <n v="2"/>
    <n v="2832"/>
    <n v="0"/>
    <x v="2"/>
    <n v="5664"/>
    <n v="4321.17"/>
    <n v="1342.83"/>
    <x v="0"/>
    <n v="1"/>
    <n v="0.23708156779661016"/>
  </r>
  <r>
    <s v="ORD10014"/>
    <d v="2026-01-30T14:53:10"/>
    <s v="C1014"/>
    <x v="3"/>
    <x v="1"/>
    <x v="3"/>
    <n v="4"/>
    <n v="1687"/>
    <n v="15"/>
    <x v="3"/>
    <n v="5735.8"/>
    <n v="4313.55"/>
    <n v="1422.25"/>
    <x v="0"/>
    <n v="1"/>
    <n v="0.24796017992259142"/>
  </r>
  <r>
    <s v="ORD10015"/>
    <d v="2026-02-01T21:34:11"/>
    <s v="C1015"/>
    <x v="0"/>
    <x v="0"/>
    <x v="2"/>
    <n v="3"/>
    <n v="14259"/>
    <n v="0"/>
    <x v="3"/>
    <n v="42777"/>
    <n v="28916.69"/>
    <n v="13860.31"/>
    <x v="1"/>
    <n v="2"/>
    <n v="0.32401313790120856"/>
  </r>
  <r>
    <s v="ORD10016"/>
    <d v="2026-02-04T04:15:11"/>
    <s v="C1016"/>
    <x v="3"/>
    <x v="1"/>
    <x v="2"/>
    <n v="3"/>
    <n v="1469"/>
    <n v="15"/>
    <x v="1"/>
    <n v="3745.95"/>
    <n v="3037.86"/>
    <n v="708.09"/>
    <x v="1"/>
    <n v="2"/>
    <n v="0.18902815040243465"/>
  </r>
  <r>
    <s v="ORD10017"/>
    <d v="2026-02-06T10:56:12"/>
    <s v="C1017"/>
    <x v="0"/>
    <x v="0"/>
    <x v="2"/>
    <n v="1"/>
    <n v="14174"/>
    <n v="0"/>
    <x v="3"/>
    <n v="14174"/>
    <n v="10879.67"/>
    <n v="3294.33"/>
    <x v="1"/>
    <n v="2"/>
    <n v="0.23242062932129251"/>
  </r>
  <r>
    <s v="ORD10018"/>
    <d v="2026-02-08T17:37:13"/>
    <s v="C1018"/>
    <x v="1"/>
    <x v="1"/>
    <x v="0"/>
    <n v="5"/>
    <n v="2821"/>
    <n v="15"/>
    <x v="1"/>
    <n v="11989.25"/>
    <n v="8762.59"/>
    <n v="3226.66"/>
    <x v="1"/>
    <n v="2"/>
    <n v="0.26912942844631649"/>
  </r>
  <r>
    <s v="ORD10019"/>
    <d v="2026-02-11T00:18:14"/>
    <s v="C1019"/>
    <x v="4"/>
    <x v="0"/>
    <x v="3"/>
    <n v="4"/>
    <n v="55469"/>
    <n v="15"/>
    <x v="1"/>
    <n v="188594.6"/>
    <n v="140002.1"/>
    <n v="48592.5"/>
    <x v="1"/>
    <n v="2"/>
    <n v="0.25765583956274463"/>
  </r>
  <r>
    <s v="ORD10020"/>
    <d v="2026-02-13T06:59:14"/>
    <s v="C1020"/>
    <x v="0"/>
    <x v="0"/>
    <x v="2"/>
    <n v="2"/>
    <n v="13837"/>
    <n v="5"/>
    <x v="3"/>
    <n v="26290.3"/>
    <n v="18506.27"/>
    <n v="7784.03"/>
    <x v="1"/>
    <n v="2"/>
    <n v="0.29607992301343083"/>
  </r>
  <r>
    <s v="ORD10021"/>
    <d v="2026-02-15T13:40:15"/>
    <s v="C1021"/>
    <x v="3"/>
    <x v="1"/>
    <x v="2"/>
    <n v="3"/>
    <n v="1229"/>
    <n v="15"/>
    <x v="2"/>
    <n v="3133.95"/>
    <n v="2098.3200000000002"/>
    <n v="1035.6300000000001"/>
    <x v="1"/>
    <n v="2"/>
    <n v="0.33045517637486244"/>
  </r>
  <r>
    <s v="ORD10022"/>
    <d v="2026-02-17T20:21:16"/>
    <s v="C1022"/>
    <x v="1"/>
    <x v="1"/>
    <x v="0"/>
    <n v="1"/>
    <n v="3164"/>
    <n v="5"/>
    <x v="2"/>
    <n v="3005.8"/>
    <n v="2077.59"/>
    <n v="928.21"/>
    <x v="1"/>
    <n v="2"/>
    <n v="0.30880630780491047"/>
  </r>
  <r>
    <s v="ORD10023"/>
    <d v="2026-02-20T03:02:17"/>
    <s v="C1023"/>
    <x v="3"/>
    <x v="0"/>
    <x v="2"/>
    <n v="1"/>
    <n v="14362"/>
    <n v="15"/>
    <x v="2"/>
    <n v="12207.7"/>
    <n v="9419.09"/>
    <n v="2788.61"/>
    <x v="1"/>
    <n v="2"/>
    <n v="0.2284304168680423"/>
  </r>
  <r>
    <s v="ORD10024"/>
    <d v="2026-02-22T09:43:17"/>
    <s v="C1024"/>
    <x v="4"/>
    <x v="0"/>
    <x v="0"/>
    <n v="4"/>
    <n v="55237"/>
    <n v="10"/>
    <x v="2"/>
    <n v="198853.2"/>
    <n v="123861.42"/>
    <n v="74991.78"/>
    <x v="1"/>
    <n v="2"/>
    <n v="0.37712131361225265"/>
  </r>
  <r>
    <s v="ORD10025"/>
    <d v="2026-02-24T16:24:18"/>
    <s v="C1025"/>
    <x v="4"/>
    <x v="0"/>
    <x v="1"/>
    <n v="3"/>
    <n v="55082"/>
    <n v="10"/>
    <x v="2"/>
    <n v="148721.4"/>
    <n v="95659.77"/>
    <n v="53061.63"/>
    <x v="1"/>
    <n v="2"/>
    <n v="0.3567854390827413"/>
  </r>
  <r>
    <s v="ORD10026"/>
    <d v="2026-02-26T23:05:19"/>
    <s v="C1026"/>
    <x v="2"/>
    <x v="1"/>
    <x v="2"/>
    <n v="5"/>
    <n v="2026"/>
    <n v="10"/>
    <x v="3"/>
    <n v="9117"/>
    <n v="5736.42"/>
    <n v="3380.58"/>
    <x v="1"/>
    <n v="2"/>
    <n v="0.37079960513326754"/>
  </r>
  <r>
    <s v="ORD10027"/>
    <d v="2026-03-01T05:46:20"/>
    <s v="C1027"/>
    <x v="2"/>
    <x v="1"/>
    <x v="1"/>
    <n v="3"/>
    <n v="2225"/>
    <n v="15"/>
    <x v="3"/>
    <n v="5673.75"/>
    <n v="3563.94"/>
    <n v="2109.81"/>
    <x v="2"/>
    <n v="3"/>
    <n v="0.37185459352280237"/>
  </r>
  <r>
    <s v="ORD10028"/>
    <d v="2026-03-03T12:27:21"/>
    <s v="C1028"/>
    <x v="3"/>
    <x v="1"/>
    <x v="0"/>
    <n v="4"/>
    <n v="1276"/>
    <n v="5"/>
    <x v="0"/>
    <n v="4848.8"/>
    <n v="3835.85"/>
    <n v="1012.95"/>
    <x v="2"/>
    <n v="3"/>
    <n v="0.20890735852169609"/>
  </r>
  <r>
    <s v="ORD10029"/>
    <d v="2026-03-05T19:08:21"/>
    <s v="C1029"/>
    <x v="0"/>
    <x v="0"/>
    <x v="3"/>
    <n v="4"/>
    <n v="14408"/>
    <n v="5"/>
    <x v="2"/>
    <n v="54750.400000000001"/>
    <n v="41650.36"/>
    <n v="13100.04"/>
    <x v="2"/>
    <n v="3"/>
    <n v="0.23926838890674773"/>
  </r>
  <r>
    <s v="ORD10030"/>
    <d v="2026-03-08T01:49:22"/>
    <s v="C1030"/>
    <x v="0"/>
    <x v="0"/>
    <x v="2"/>
    <n v="3"/>
    <n v="14083"/>
    <n v="15"/>
    <x v="3"/>
    <n v="35911.65"/>
    <n v="25670.9"/>
    <n v="10240.75"/>
    <x v="2"/>
    <n v="3"/>
    <n v="0.28516512051103193"/>
  </r>
  <r>
    <s v="ORD10031"/>
    <d v="2026-03-10T08:30:23"/>
    <s v="C1031"/>
    <x v="2"/>
    <x v="1"/>
    <x v="0"/>
    <n v="4"/>
    <n v="2480"/>
    <n v="10"/>
    <x v="0"/>
    <n v="8928"/>
    <n v="5710.05"/>
    <n v="3217.95"/>
    <x v="2"/>
    <n v="3"/>
    <n v="0.36043346774193546"/>
  </r>
  <r>
    <s v="ORD10032"/>
    <d v="2026-03-12T15:11:24"/>
    <s v="C1032"/>
    <x v="0"/>
    <x v="0"/>
    <x v="3"/>
    <n v="3"/>
    <n v="14252"/>
    <n v="0"/>
    <x v="2"/>
    <n v="38480.400000000001"/>
    <n v="27641.360000000001"/>
    <n v="10839.04"/>
    <x v="2"/>
    <n v="3"/>
    <n v="0.28167690564547149"/>
  </r>
  <r>
    <s v="ORD10033"/>
    <d v="2026-03-14T21:52:24"/>
    <s v="C1033"/>
    <x v="0"/>
    <x v="0"/>
    <x v="3"/>
    <n v="2"/>
    <n v="14458"/>
    <n v="5"/>
    <x v="1"/>
    <n v="27470.2"/>
    <n v="19632.8"/>
    <n v="7837.4"/>
    <x v="2"/>
    <n v="3"/>
    <n v="0.28530553108459344"/>
  </r>
  <r>
    <s v="ORD10034"/>
    <d v="2026-03-17T04:33:25"/>
    <s v="C1034"/>
    <x v="4"/>
    <x v="0"/>
    <x v="1"/>
    <n v="3"/>
    <n v="55315"/>
    <n v="10"/>
    <x v="0"/>
    <n v="149350.5"/>
    <n v="97770.87"/>
    <n v="51579.63"/>
    <x v="2"/>
    <n v="3"/>
    <n v="0.34535960709873753"/>
  </r>
  <r>
    <s v="ORD10035"/>
    <d v="2026-03-19T11:14:26"/>
    <s v="C1035"/>
    <x v="2"/>
    <x v="1"/>
    <x v="0"/>
    <n v="3"/>
    <n v="2546"/>
    <n v="0"/>
    <x v="3"/>
    <n v="7638"/>
    <n v="5398.31"/>
    <n v="2239.69"/>
    <x v="2"/>
    <n v="3"/>
    <n v="0.29322990311599895"/>
  </r>
  <r>
    <s v="ORD10036"/>
    <d v="2026-03-21T17:55:27"/>
    <s v="C1036"/>
    <x v="1"/>
    <x v="1"/>
    <x v="3"/>
    <n v="4"/>
    <n v="2991"/>
    <n v="5"/>
    <x v="1"/>
    <n v="11365.8"/>
    <n v="7952.66"/>
    <n v="3413.14"/>
    <x v="2"/>
    <n v="3"/>
    <n v="0.30029914304316457"/>
  </r>
  <r>
    <s v="ORD10037"/>
    <d v="2026-03-24T00:36:27"/>
    <s v="C1037"/>
    <x v="2"/>
    <x v="1"/>
    <x v="2"/>
    <n v="4"/>
    <n v="2048"/>
    <n v="10"/>
    <x v="1"/>
    <n v="7372.8"/>
    <n v="5479.24"/>
    <n v="1893.56"/>
    <x v="2"/>
    <n v="3"/>
    <n v="0.25683051215277775"/>
  </r>
  <r>
    <s v="ORD10038"/>
    <d v="2026-03-26T07:17:28"/>
    <s v="C1038"/>
    <x v="1"/>
    <x v="1"/>
    <x v="2"/>
    <n v="1"/>
    <n v="3311"/>
    <n v="5"/>
    <x v="1"/>
    <n v="3145.45"/>
    <n v="2349.71"/>
    <n v="795.74"/>
    <x v="2"/>
    <n v="3"/>
    <n v="0.2529812904353908"/>
  </r>
  <r>
    <s v="ORD10039"/>
    <d v="2026-03-28T13:58:29"/>
    <s v="C1039"/>
    <x v="4"/>
    <x v="0"/>
    <x v="1"/>
    <n v="1"/>
    <n v="54816"/>
    <n v="0"/>
    <x v="0"/>
    <n v="54816"/>
    <n v="34482.6"/>
    <n v="20333.400000000001"/>
    <x v="2"/>
    <n v="3"/>
    <n v="0.37093914185639232"/>
  </r>
  <r>
    <s v="ORD10040"/>
    <d v="2026-03-30T20:39:30"/>
    <s v="C1040"/>
    <x v="3"/>
    <x v="1"/>
    <x v="3"/>
    <n v="2"/>
    <n v="1171"/>
    <n v="5"/>
    <x v="3"/>
    <n v="2224.9"/>
    <n v="1546.13"/>
    <n v="678.77"/>
    <x v="2"/>
    <n v="3"/>
    <n v="0.30507887994966065"/>
  </r>
  <r>
    <s v="ORD10041"/>
    <d v="2026-04-02T03:20:30"/>
    <s v="C1041"/>
    <x v="0"/>
    <x v="0"/>
    <x v="0"/>
    <n v="1"/>
    <n v="14019"/>
    <n v="5"/>
    <x v="1"/>
    <n v="13318.05"/>
    <n v="9924.24"/>
    <n v="3393.81"/>
    <x v="3"/>
    <n v="4"/>
    <n v="0.25482784641895773"/>
  </r>
  <r>
    <s v="ORD10042"/>
    <d v="2026-04-04T10:01:31"/>
    <s v="C1042"/>
    <x v="4"/>
    <x v="0"/>
    <x v="2"/>
    <n v="3"/>
    <n v="54957"/>
    <n v="5"/>
    <x v="2"/>
    <n v="156627.45000000001"/>
    <n v="112870.01"/>
    <n v="43757.440000000002"/>
    <x v="3"/>
    <n v="4"/>
    <n v="0.27937274085736569"/>
  </r>
  <r>
    <s v="ORD10043"/>
    <d v="2026-04-06T16:42:32"/>
    <s v="C1043"/>
    <x v="0"/>
    <x v="0"/>
    <x v="3"/>
    <n v="4"/>
    <n v="14276"/>
    <n v="5"/>
    <x v="1"/>
    <n v="54248.800000000003"/>
    <n v="42926.97"/>
    <n v="11321.83"/>
    <x v="3"/>
    <n v="4"/>
    <n v="0.20870194363746294"/>
  </r>
  <r>
    <s v="ORD10044"/>
    <d v="2026-04-08T23:23:33"/>
    <s v="C1044"/>
    <x v="3"/>
    <x v="1"/>
    <x v="3"/>
    <n v="1"/>
    <n v="1045"/>
    <n v="0"/>
    <x v="1"/>
    <n v="1045"/>
    <n v="785.57"/>
    <n v="259.43"/>
    <x v="3"/>
    <n v="4"/>
    <n v="0.24825837320574162"/>
  </r>
  <r>
    <s v="ORD10045"/>
    <d v="2026-04-11T06:04:33"/>
    <s v="C1045"/>
    <x v="3"/>
    <x v="1"/>
    <x v="4"/>
    <n v="1"/>
    <n v="1372"/>
    <n v="15"/>
    <x v="0"/>
    <n v="1166.2"/>
    <n v="761.05"/>
    <n v="405.15"/>
    <x v="3"/>
    <n v="4"/>
    <n v="0.34741039272851992"/>
  </r>
  <r>
    <s v="ORD10046"/>
    <d v="2026-04-13T12:45:34"/>
    <s v="C1046"/>
    <x v="4"/>
    <x v="0"/>
    <x v="2"/>
    <n v="2"/>
    <n v="55317"/>
    <n v="5"/>
    <x v="0"/>
    <n v="105102.3"/>
    <n v="66646.81"/>
    <n v="38455.49"/>
    <x v="3"/>
    <n v="4"/>
    <n v="0.36588628412508573"/>
  </r>
  <r>
    <s v="ORD10047"/>
    <d v="2026-04-15T19:26:35"/>
    <s v="C1047"/>
    <x v="3"/>
    <x v="1"/>
    <x v="2"/>
    <n v="2"/>
    <n v="1098"/>
    <n v="5"/>
    <x v="3"/>
    <n v="2086.1999999999998"/>
    <n v="1561.49"/>
    <n v="524.71"/>
    <x v="3"/>
    <n v="4"/>
    <n v="0.25151471575112649"/>
  </r>
  <r>
    <s v="ORD10048"/>
    <d v="2026-04-18T02:07:36"/>
    <s v="C1048"/>
    <x v="1"/>
    <x v="1"/>
    <x v="0"/>
    <n v="3"/>
    <n v="2836"/>
    <n v="10"/>
    <x v="2"/>
    <n v="7657.2"/>
    <n v="4788.0600000000004"/>
    <n v="2869.14"/>
    <x v="3"/>
    <n v="4"/>
    <n v="0.3746983231468422"/>
  </r>
  <r>
    <s v="ORD10049"/>
    <d v="2026-04-20T08:48:36"/>
    <s v="C1049"/>
    <x v="3"/>
    <x v="1"/>
    <x v="2"/>
    <n v="4"/>
    <n v="1279"/>
    <n v="5"/>
    <x v="0"/>
    <n v="4860.2"/>
    <n v="3582.72"/>
    <n v="1277.48"/>
    <x v="3"/>
    <n v="4"/>
    <n v="0.26284515040533313"/>
  </r>
  <r>
    <s v="ORD10050"/>
    <d v="2026-04-22T15:29:37"/>
    <s v="C1050"/>
    <x v="0"/>
    <x v="0"/>
    <x v="0"/>
    <n v="2"/>
    <n v="14148"/>
    <n v="10"/>
    <x v="1"/>
    <n v="25466.400000000001"/>
    <n v="20578.02"/>
    <n v="4888.38"/>
    <x v="3"/>
    <n v="4"/>
    <n v="0.19195410423145792"/>
  </r>
  <r>
    <s v="ORD10051"/>
    <d v="2026-04-24T22:10:38"/>
    <s v="C1051"/>
    <x v="0"/>
    <x v="0"/>
    <x v="2"/>
    <n v="1"/>
    <n v="14296"/>
    <n v="15"/>
    <x v="3"/>
    <n v="12151.6"/>
    <n v="8932.58"/>
    <n v="3219.02"/>
    <x v="3"/>
    <n v="4"/>
    <n v="0.26490503308206326"/>
  </r>
  <r>
    <s v="ORD10052"/>
    <d v="2026-04-27T04:51:39"/>
    <s v="C1052"/>
    <x v="0"/>
    <x v="0"/>
    <x v="1"/>
    <n v="4"/>
    <n v="14101"/>
    <n v="0"/>
    <x v="1"/>
    <n v="56404"/>
    <n v="39349.35"/>
    <n v="17054.650000000001"/>
    <x v="3"/>
    <n v="4"/>
    <n v="0.30236596695269841"/>
  </r>
  <r>
    <s v="ORD10053"/>
    <d v="2026-04-29T11:32:39"/>
    <s v="C1053"/>
    <x v="0"/>
    <x v="0"/>
    <x v="2"/>
    <n v="4"/>
    <n v="13980"/>
    <n v="0"/>
    <x v="1"/>
    <n v="55920"/>
    <n v="41864.94"/>
    <n v="14055.06"/>
    <x v="3"/>
    <n v="4"/>
    <n v="0.2513422746781116"/>
  </r>
  <r>
    <s v="ORD10054"/>
    <d v="2026-05-01T18:13:40"/>
    <s v="C1054"/>
    <x v="1"/>
    <x v="1"/>
    <x v="0"/>
    <n v="1"/>
    <n v="3406"/>
    <n v="15"/>
    <x v="0"/>
    <n v="2895.1"/>
    <n v="2060.3000000000002"/>
    <n v="834.8"/>
    <x v="4"/>
    <n v="5"/>
    <n v="0.28834927981762287"/>
  </r>
  <r>
    <s v="ORD10055"/>
    <d v="2026-05-04T00:54:41"/>
    <s v="C1055"/>
    <x v="2"/>
    <x v="1"/>
    <x v="0"/>
    <n v="2"/>
    <n v="2098"/>
    <n v="0"/>
    <x v="3"/>
    <n v="4196"/>
    <n v="3059.4"/>
    <n v="1136.5999999999999"/>
    <x v="4"/>
    <n v="5"/>
    <n v="0.27087702573879885"/>
  </r>
  <r>
    <s v="ORD10056"/>
    <d v="2026-05-06T07:35:42"/>
    <s v="C1056"/>
    <x v="4"/>
    <x v="0"/>
    <x v="1"/>
    <n v="1"/>
    <n v="55499"/>
    <n v="15"/>
    <x v="3"/>
    <n v="47174.15"/>
    <n v="38130.53"/>
    <n v="9043.6200000000008"/>
    <x v="4"/>
    <n v="5"/>
    <n v="0.19170711077995048"/>
  </r>
  <r>
    <s v="ORD10057"/>
    <d v="2026-05-08T14:16:43"/>
    <s v="C1057"/>
    <x v="0"/>
    <x v="0"/>
    <x v="2"/>
    <n v="4"/>
    <n v="13915"/>
    <n v="15"/>
    <x v="2"/>
    <n v="47311"/>
    <n v="32986.199999999997"/>
    <n v="14324.8"/>
    <x v="4"/>
    <n v="5"/>
    <n v="0.30277948045908981"/>
  </r>
  <r>
    <s v="ORD10058"/>
    <d v="2026-05-10T20:57:43"/>
    <s v="C1058"/>
    <x v="3"/>
    <x v="1"/>
    <x v="2"/>
    <n v="5"/>
    <n v="1190"/>
    <n v="15"/>
    <x v="0"/>
    <n v="5057.5"/>
    <n v="4107.8900000000003"/>
    <n v="949.61"/>
    <x v="4"/>
    <n v="5"/>
    <n v="0.1877627286208601"/>
  </r>
  <r>
    <s v="ORD10059"/>
    <d v="2026-05-13T03:38:44"/>
    <s v="C1059"/>
    <x v="0"/>
    <x v="0"/>
    <x v="1"/>
    <n v="5"/>
    <n v="14052"/>
    <n v="0"/>
    <x v="0"/>
    <n v="70260"/>
    <n v="56283.19"/>
    <n v="13976.81"/>
    <x v="4"/>
    <n v="5"/>
    <n v="0.19892983205237688"/>
  </r>
  <r>
    <s v="ORD10060"/>
    <d v="2026-05-15T10:19:45"/>
    <s v="C1060"/>
    <x v="3"/>
    <x v="1"/>
    <x v="2"/>
    <n v="3"/>
    <n v="1160"/>
    <n v="10"/>
    <x v="3"/>
    <n v="3132"/>
    <n v="2064.48"/>
    <n v="1067.52"/>
    <x v="4"/>
    <n v="5"/>
    <n v="0.34084291187739463"/>
  </r>
  <r>
    <s v="ORD10061"/>
    <d v="2026-05-17T17:00:46"/>
    <s v="C1061"/>
    <x v="3"/>
    <x v="1"/>
    <x v="2"/>
    <n v="1"/>
    <n v="1255"/>
    <n v="15"/>
    <x v="2"/>
    <n v="1066.75"/>
    <n v="676.18"/>
    <n v="390.57"/>
    <x v="4"/>
    <n v="5"/>
    <n v="0.36613077103351299"/>
  </r>
  <r>
    <s v="ORD10062"/>
    <d v="2026-05-19T23:41:46"/>
    <s v="C1062"/>
    <x v="0"/>
    <x v="0"/>
    <x v="0"/>
    <n v="1"/>
    <n v="14122"/>
    <n v="5"/>
    <x v="2"/>
    <n v="13415.9"/>
    <n v="8588.26"/>
    <n v="4827.6400000000003"/>
    <x v="4"/>
    <n v="5"/>
    <n v="0.35984466193099235"/>
  </r>
  <r>
    <s v="ORD10063"/>
    <d v="2026-05-22T06:22:47"/>
    <s v="C1063"/>
    <x v="1"/>
    <x v="1"/>
    <x v="2"/>
    <n v="3"/>
    <n v="2927"/>
    <n v="0"/>
    <x v="2"/>
    <n v="8781"/>
    <n v="5476.22"/>
    <n v="3304.78"/>
    <x v="4"/>
    <n v="5"/>
    <n v="0.37635576813574767"/>
  </r>
  <r>
    <s v="ORD10064"/>
    <d v="2026-05-24T13:03:48"/>
    <s v="C1064"/>
    <x v="3"/>
    <x v="1"/>
    <x v="2"/>
    <n v="3"/>
    <n v="1017"/>
    <n v="15"/>
    <x v="1"/>
    <n v="2593.35"/>
    <n v="1656.86"/>
    <n v="936.49"/>
    <x v="4"/>
    <n v="5"/>
    <n v="0.36111207511519849"/>
  </r>
  <r>
    <s v="ORD10065"/>
    <d v="2026-05-26T19:44:49"/>
    <s v="C1065"/>
    <x v="3"/>
    <x v="1"/>
    <x v="1"/>
    <n v="3"/>
    <n v="1565"/>
    <n v="15"/>
    <x v="2"/>
    <n v="3990.75"/>
    <n v="3019.41"/>
    <n v="971.34"/>
    <x v="4"/>
    <n v="5"/>
    <n v="0.24339785754557414"/>
  </r>
  <r>
    <s v="ORD10066"/>
    <d v="2026-05-29T02:25:49"/>
    <s v="C1066"/>
    <x v="0"/>
    <x v="0"/>
    <x v="1"/>
    <n v="4"/>
    <n v="14369"/>
    <n v="5"/>
    <x v="1"/>
    <n v="54602.2"/>
    <n v="34630.78"/>
    <n v="19971.419999999998"/>
    <x v="4"/>
    <n v="5"/>
    <n v="0.36576218540644884"/>
  </r>
  <r>
    <s v="ORD10067"/>
    <d v="2026-05-31T09:06:50"/>
    <s v="C1067"/>
    <x v="3"/>
    <x v="1"/>
    <x v="3"/>
    <n v="1"/>
    <n v="1322"/>
    <n v="10"/>
    <x v="3"/>
    <n v="1189.8"/>
    <n v="813.58"/>
    <n v="376.22"/>
    <x v="4"/>
    <n v="5"/>
    <n v="0.31620440410152972"/>
  </r>
  <r>
    <s v="ORD10068"/>
    <d v="2026-06-02T15:47:51"/>
    <s v="C1068"/>
    <x v="3"/>
    <x v="1"/>
    <x v="0"/>
    <n v="4"/>
    <n v="1685"/>
    <n v="10"/>
    <x v="1"/>
    <n v="6066"/>
    <n v="4785.92"/>
    <n v="1280.08"/>
    <x v="5"/>
    <n v="6"/>
    <n v="0.21102538740520935"/>
  </r>
  <r>
    <s v="ORD10069"/>
    <d v="2026-06-04T22:28:52"/>
    <s v="C1069"/>
    <x v="0"/>
    <x v="0"/>
    <x v="2"/>
    <n v="3"/>
    <n v="14425"/>
    <n v="10"/>
    <x v="3"/>
    <n v="38947.5"/>
    <n v="24328.73"/>
    <n v="14618.77"/>
    <x v="5"/>
    <n v="6"/>
    <n v="0.3753455292380769"/>
  </r>
  <r>
    <s v="ORD10070"/>
    <d v="2026-06-07T05:09:52"/>
    <s v="C1070"/>
    <x v="0"/>
    <x v="0"/>
    <x v="2"/>
    <n v="1"/>
    <n v="14087"/>
    <n v="15"/>
    <x v="2"/>
    <n v="11973.95"/>
    <n v="9374.33"/>
    <n v="2599.62"/>
    <x v="5"/>
    <n v="6"/>
    <n v="0.21710630159638211"/>
  </r>
  <r>
    <s v="ORD10071"/>
    <d v="2026-06-09T11:50:53"/>
    <s v="C1011"/>
    <x v="4"/>
    <x v="0"/>
    <x v="3"/>
    <n v="4"/>
    <n v="55462"/>
    <n v="15"/>
    <x v="2"/>
    <n v="188570.8"/>
    <n v="127543.81"/>
    <n v="61026.99"/>
    <x v="5"/>
    <n v="6"/>
    <n v="0.32362905603624742"/>
  </r>
  <r>
    <s v="ORD10072"/>
    <d v="2026-06-11T18:31:54"/>
    <s v="C1072"/>
    <x v="1"/>
    <x v="1"/>
    <x v="2"/>
    <n v="4"/>
    <n v="3438"/>
    <n v="15"/>
    <x v="3"/>
    <n v="11689.2"/>
    <n v="7523.55"/>
    <n v="4165.6499999999996"/>
    <x v="5"/>
    <n v="6"/>
    <n v="0.35636741607637812"/>
  </r>
  <r>
    <s v="ORD10073"/>
    <d v="2026-06-14T01:12:55"/>
    <s v="C1073"/>
    <x v="1"/>
    <x v="1"/>
    <x v="0"/>
    <n v="3"/>
    <n v="2954"/>
    <n v="0"/>
    <x v="0"/>
    <n v="8862"/>
    <n v="6729.34"/>
    <n v="2132.66"/>
    <x v="5"/>
    <n v="6"/>
    <n v="0.24065222297449784"/>
  </r>
  <r>
    <s v="ORD10074"/>
    <d v="2026-06-16T07:53:55"/>
    <s v="C1074"/>
    <x v="3"/>
    <x v="1"/>
    <x v="3"/>
    <n v="1"/>
    <n v="1489"/>
    <n v="5"/>
    <x v="3"/>
    <n v="1414.55"/>
    <n v="1054.96"/>
    <n v="359.59"/>
    <x v="5"/>
    <n v="6"/>
    <n v="0.25420805203068114"/>
  </r>
  <r>
    <s v="ORD10075"/>
    <d v="2026-06-18T14:34:56"/>
    <s v="C1075"/>
    <x v="1"/>
    <x v="1"/>
    <x v="0"/>
    <n v="3"/>
    <n v="3185"/>
    <n v="15"/>
    <x v="0"/>
    <n v="8121.75"/>
    <n v="6460.81"/>
    <n v="1660.94"/>
    <x v="5"/>
    <n v="6"/>
    <n v="0.20450518669006065"/>
  </r>
  <r>
    <s v="ORD10076"/>
    <d v="2026-06-20T21:15:57"/>
    <s v="C1076"/>
    <x v="3"/>
    <x v="1"/>
    <x v="3"/>
    <n v="1"/>
    <n v="1103"/>
    <n v="5"/>
    <x v="1"/>
    <n v="1047.8499999999999"/>
    <n v="803.72"/>
    <n v="244.13"/>
    <x v="5"/>
    <n v="6"/>
    <n v="0.23298181991697287"/>
  </r>
  <r>
    <s v="ORD10077"/>
    <d v="2026-06-23T03:56:58"/>
    <s v="C1077"/>
    <x v="4"/>
    <x v="0"/>
    <x v="3"/>
    <n v="5"/>
    <n v="55192"/>
    <n v="5"/>
    <x v="1"/>
    <n v="262162"/>
    <n v="204668.87"/>
    <n v="57493.13"/>
    <x v="5"/>
    <n v="6"/>
    <n v="0.2193038274044293"/>
  </r>
  <r>
    <s v="ORD10078"/>
    <d v="2026-06-25T10:37:58"/>
    <s v="C1078"/>
    <x v="0"/>
    <x v="0"/>
    <x v="1"/>
    <n v="2"/>
    <n v="14045"/>
    <n v="10"/>
    <x v="1"/>
    <n v="25281"/>
    <n v="17100.240000000002"/>
    <n v="8180.76"/>
    <x v="5"/>
    <n v="6"/>
    <n v="0.32359321229381749"/>
  </r>
  <r>
    <s v="ORD10079"/>
    <d v="2026-06-27T17:18:59"/>
    <s v="C1079"/>
    <x v="0"/>
    <x v="0"/>
    <x v="0"/>
    <n v="2"/>
    <n v="13975"/>
    <n v="0"/>
    <x v="2"/>
    <n v="27950"/>
    <n v="18320.89"/>
    <n v="9629.11"/>
    <x v="5"/>
    <n v="6"/>
    <n v="0.34451198568872987"/>
  </r>
  <r>
    <s v="ORD10080"/>
    <d v="2026-06-30T00:00:00"/>
    <s v="C1080"/>
    <x v="0"/>
    <x v="0"/>
    <x v="2"/>
    <n v="2"/>
    <n v="13838"/>
    <n v="15"/>
    <x v="1"/>
    <n v="23524.6"/>
    <n v="18116.830000000002"/>
    <n v="5407.77"/>
    <x v="5"/>
    <n v="6"/>
    <n v="0.229877234894535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57261D-8891-4310-83F5-EA9A1B6897B2}"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4">
  <location ref="CO3:CP9" firstHeaderRow="1" firstDataRow="1" firstDataCol="1"/>
  <pivotFields count="16">
    <pivotField showAll="0"/>
    <pivotField numFmtId="164" showAll="0"/>
    <pivotField showAll="0"/>
    <pivotField axis="axisRow" showAll="0">
      <items count="7">
        <item x="1"/>
        <item x="2"/>
        <item x="4"/>
        <item x="0"/>
        <item x="3"/>
        <item m="1" x="5"/>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dataField="1" showAll="0"/>
    <pivotField showAll="0"/>
    <pivotField showAll="0">
      <items count="7">
        <item x="0"/>
        <item x="1"/>
        <item x="2"/>
        <item x="3"/>
        <item x="4"/>
        <item x="5"/>
        <item t="default"/>
      </items>
    </pivotField>
    <pivotField showAll="0"/>
    <pivotField numFmtId="9" showAll="0"/>
  </pivotFields>
  <rowFields count="1">
    <field x="3"/>
  </rowFields>
  <rowItems count="6">
    <i>
      <x/>
    </i>
    <i>
      <x v="1"/>
    </i>
    <i>
      <x v="2"/>
    </i>
    <i>
      <x v="3"/>
    </i>
    <i>
      <x v="4"/>
    </i>
    <i t="grand">
      <x/>
    </i>
  </rowItems>
  <colItems count="1">
    <i/>
  </colItems>
  <dataFields count="1">
    <dataField name="Sum of Cost" fld="11" baseField="0" baseItem="0"/>
  </dataFields>
  <formats count="1">
    <format dxfId="6">
      <pivotArea outline="0" collapsedLevelsAreSubtotals="1" fieldPosition="0"/>
    </format>
  </formats>
  <chartFormats count="4">
    <chartFormat chart="39"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7DBA9C-83E1-46AF-9B52-6141E370BB7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6">
    <pivotField showAll="0"/>
    <pivotField numFmtId="164" showAll="0"/>
    <pivotField showAll="0"/>
    <pivotField showAll="0">
      <items count="7">
        <item x="1"/>
        <item x="2"/>
        <item x="4"/>
        <item x="0"/>
        <item x="3"/>
        <item m="1" x="5"/>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dataField="1" showAll="0"/>
    <pivotField showAll="0"/>
    <pivotField showAll="0"/>
    <pivotField showAll="0">
      <items count="7">
        <item x="0"/>
        <item x="1"/>
        <item x="2"/>
        <item x="3"/>
        <item x="4"/>
        <item x="5"/>
        <item t="default"/>
      </items>
    </pivotField>
    <pivotField showAll="0"/>
    <pivotField numFmtId="9" showAll="0"/>
  </pivotFields>
  <rowItems count="1">
    <i/>
  </rowItems>
  <colItems count="1">
    <i/>
  </colItems>
  <dataFields count="1">
    <dataField name="Sum of Sales" fld="10" baseField="0" baseItem="0" numFmtId="165"/>
  </dataFields>
  <formats count="1">
    <format dxfId="1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F8F723-A41B-457E-9F71-94111984BD15}"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2">
  <location ref="CH3:CI8" firstHeaderRow="1" firstDataRow="1" firstDataCol="1"/>
  <pivotFields count="16">
    <pivotField showAll="0"/>
    <pivotField numFmtId="164" showAll="0"/>
    <pivotField showAll="0"/>
    <pivotField showAll="0">
      <items count="7">
        <item x="1"/>
        <item x="2"/>
        <item x="4"/>
        <item x="0"/>
        <item x="3"/>
        <item m="1" x="5"/>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axis="axisRow" dataField="1" showAll="0">
      <items count="6">
        <item x="3"/>
        <item m="1" x="4"/>
        <item x="0"/>
        <item x="2"/>
        <item x="1"/>
        <item t="default"/>
      </items>
    </pivotField>
    <pivotField showAll="0"/>
    <pivotField showAll="0"/>
    <pivotField showAll="0"/>
    <pivotField showAll="0">
      <items count="7">
        <item x="0"/>
        <item x="1"/>
        <item x="2"/>
        <item x="3"/>
        <item x="4"/>
        <item x="5"/>
        <item t="default"/>
      </items>
    </pivotField>
    <pivotField showAll="0"/>
    <pivotField numFmtId="9" showAll="0"/>
  </pivotFields>
  <rowFields count="1">
    <field x="9"/>
  </rowFields>
  <rowItems count="5">
    <i>
      <x/>
    </i>
    <i>
      <x v="2"/>
    </i>
    <i>
      <x v="3"/>
    </i>
    <i>
      <x v="4"/>
    </i>
    <i t="grand">
      <x/>
    </i>
  </rowItems>
  <colItems count="1">
    <i/>
  </colItems>
  <dataFields count="1">
    <dataField name="Count of Payment_Mode" fld="9" subtotal="count" baseField="0" baseItem="0" numFmtId="165"/>
  </dataFields>
  <formats count="1">
    <format dxfId="160">
      <pivotArea outline="0" collapsedLevelsAreSubtotals="1" fieldPosition="0"/>
    </format>
  </formats>
  <chartFormats count="10">
    <chartFormat chart="29" format="0"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9" count="1" selected="0">
            <x v="0"/>
          </reference>
        </references>
      </pivotArea>
    </chartFormat>
    <chartFormat chart="31" format="8">
      <pivotArea type="data" outline="0" fieldPosition="0">
        <references count="2">
          <reference field="4294967294" count="1" selected="0">
            <x v="0"/>
          </reference>
          <reference field="9" count="1" selected="0">
            <x v="2"/>
          </reference>
        </references>
      </pivotArea>
    </chartFormat>
    <chartFormat chart="31" format="9">
      <pivotArea type="data" outline="0" fieldPosition="0">
        <references count="2">
          <reference field="4294967294" count="1" selected="0">
            <x v="0"/>
          </reference>
          <reference field="9" count="1" selected="0">
            <x v="3"/>
          </reference>
        </references>
      </pivotArea>
    </chartFormat>
    <chartFormat chart="31" format="10">
      <pivotArea type="data" outline="0" fieldPosition="0">
        <references count="2">
          <reference field="4294967294" count="1" selected="0">
            <x v="0"/>
          </reference>
          <reference field="9" count="1" selected="0">
            <x v="4"/>
          </reference>
        </references>
      </pivotArea>
    </chartFormat>
    <chartFormat chart="29" format="1">
      <pivotArea type="data" outline="0" fieldPosition="0">
        <references count="2">
          <reference field="4294967294" count="1" selected="0">
            <x v="0"/>
          </reference>
          <reference field="9" count="1" selected="0">
            <x v="0"/>
          </reference>
        </references>
      </pivotArea>
    </chartFormat>
    <chartFormat chart="29" format="2">
      <pivotArea type="data" outline="0" fieldPosition="0">
        <references count="2">
          <reference field="4294967294" count="1" selected="0">
            <x v="0"/>
          </reference>
          <reference field="9" count="1" selected="0">
            <x v="2"/>
          </reference>
        </references>
      </pivotArea>
    </chartFormat>
    <chartFormat chart="29" format="3">
      <pivotArea type="data" outline="0" fieldPosition="0">
        <references count="2">
          <reference field="4294967294" count="1" selected="0">
            <x v="0"/>
          </reference>
          <reference field="9" count="1" selected="0">
            <x v="3"/>
          </reference>
        </references>
      </pivotArea>
    </chartFormat>
    <chartFormat chart="29" format="4">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3E0801-3F36-405D-8C4D-78F9E88737F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H9" firstHeaderRow="1" firstDataRow="1" firstDataCol="1"/>
  <pivotFields count="16">
    <pivotField showAll="0"/>
    <pivotField numFmtId="164" showAll="0"/>
    <pivotField showAll="0"/>
    <pivotField showAll="0">
      <items count="7">
        <item x="1"/>
        <item x="2"/>
        <item x="4"/>
        <item x="0"/>
        <item x="3"/>
        <item m="1" x="5"/>
        <item t="default"/>
      </items>
    </pivotField>
    <pivotField showAll="0">
      <items count="3">
        <item x="1"/>
        <item x="0"/>
        <item t="default"/>
      </items>
    </pivotField>
    <pivotField axis="axisRow"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showAll="0"/>
    <pivotField showAll="0"/>
    <pivotField showAll="0">
      <items count="7">
        <item x="0"/>
        <item x="1"/>
        <item x="2"/>
        <item x="3"/>
        <item x="4"/>
        <item x="5"/>
        <item t="default"/>
      </items>
    </pivotField>
    <pivotField showAll="0"/>
    <pivotField numFmtId="9" showAll="0"/>
  </pivotFields>
  <rowFields count="1">
    <field x="5"/>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BD06D2-A361-422B-9D65-C72BC8FBEF8C}"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O3:AP10" firstHeaderRow="1" firstDataRow="1" firstDataCol="1"/>
  <pivotFields count="16">
    <pivotField showAll="0"/>
    <pivotField numFmtId="164" showAll="0"/>
    <pivotField showAll="0"/>
    <pivotField showAll="0">
      <items count="7">
        <item x="1"/>
        <item x="2"/>
        <item x="4"/>
        <item x="0"/>
        <item x="3"/>
        <item m="1" x="5"/>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showAll="0"/>
    <pivotField dataField="1" showAll="0"/>
    <pivotField axis="axisRow" showAll="0">
      <items count="7">
        <item x="0"/>
        <item x="1"/>
        <item x="2"/>
        <item x="3"/>
        <item x="4"/>
        <item x="5"/>
        <item t="default"/>
      </items>
    </pivotField>
    <pivotField showAll="0"/>
    <pivotField numFmtId="9" showAll="0"/>
  </pivotFields>
  <rowFields count="1">
    <field x="13"/>
  </rowFields>
  <rowItems count="7">
    <i>
      <x/>
    </i>
    <i>
      <x v="1"/>
    </i>
    <i>
      <x v="2"/>
    </i>
    <i>
      <x v="3"/>
    </i>
    <i>
      <x v="4"/>
    </i>
    <i>
      <x v="5"/>
    </i>
    <i t="grand">
      <x/>
    </i>
  </rowItems>
  <colItems count="1">
    <i/>
  </colItems>
  <dataFields count="1">
    <dataField name="Sum of Profit" fld="12" baseField="0" baseItem="0" numFmtId="165"/>
  </dataFields>
  <formats count="2">
    <format dxfId="162">
      <pivotArea collapsedLevelsAreSubtotals="1" fieldPosition="0">
        <references count="1">
          <reference field="13" count="1">
            <x v="1"/>
          </reference>
        </references>
      </pivotArea>
    </format>
    <format dxfId="161">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9F82EF-F85E-47E8-A15C-334DCFFEF7B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16">
    <pivotField showAll="0"/>
    <pivotField numFmtId="164" showAll="0"/>
    <pivotField showAll="0"/>
    <pivotField showAll="0">
      <items count="7">
        <item x="1"/>
        <item x="2"/>
        <item x="4"/>
        <item x="0"/>
        <item x="3"/>
        <item m="1" x="5"/>
        <item t="default"/>
      </items>
    </pivotField>
    <pivotField showAll="0">
      <items count="3">
        <item x="1"/>
        <item x="0"/>
        <item t="default"/>
      </items>
    </pivotField>
    <pivotField showAll="0">
      <items count="6">
        <item x="2"/>
        <item x="0"/>
        <item x="1"/>
        <item x="4"/>
        <item x="3"/>
        <item t="default"/>
      </items>
    </pivotField>
    <pivotField dataField="1" showAll="0"/>
    <pivotField showAll="0"/>
    <pivotField showAll="0"/>
    <pivotField showAll="0">
      <items count="6">
        <item x="3"/>
        <item m="1" x="4"/>
        <item x="0"/>
        <item x="2"/>
        <item x="1"/>
        <item t="default"/>
      </items>
    </pivotField>
    <pivotField showAll="0"/>
    <pivotField showAll="0"/>
    <pivotField showAll="0"/>
    <pivotField showAll="0">
      <items count="7">
        <item x="0"/>
        <item x="1"/>
        <item x="2"/>
        <item x="3"/>
        <item x="4"/>
        <item x="5"/>
        <item t="default"/>
      </items>
    </pivotField>
    <pivotField showAll="0"/>
    <pivotField numFmtId="9" showAll="0"/>
  </pivotFields>
  <rowItems count="1">
    <i/>
  </rowItems>
  <colItems count="1">
    <i/>
  </colItems>
  <dataFields count="1">
    <dataField name="Sum of Quantity" fld="6" baseField="0" baseItem="0" numFmtId="165"/>
  </dataFields>
  <formats count="1">
    <format dxfId="1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8484EC-4053-4F66-8CA8-0219BB9821BF}"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BZ3:CA9" firstHeaderRow="1" firstDataRow="1" firstDataCol="1"/>
  <pivotFields count="16">
    <pivotField showAll="0"/>
    <pivotField numFmtId="164" showAll="0"/>
    <pivotField showAll="0"/>
    <pivotField axis="axisRow" showAll="0" sortType="descending">
      <items count="7">
        <item x="1"/>
        <item x="2"/>
        <item x="4"/>
        <item x="0"/>
        <item x="3"/>
        <item m="1"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6">
        <item x="2"/>
        <item x="0"/>
        <item x="1"/>
        <item x="4"/>
        <item x="3"/>
        <item t="default"/>
      </items>
    </pivotField>
    <pivotField dataField="1" showAll="0"/>
    <pivotField showAll="0"/>
    <pivotField showAll="0"/>
    <pivotField showAll="0">
      <items count="6">
        <item x="3"/>
        <item m="1" x="4"/>
        <item x="0"/>
        <item x="2"/>
        <item x="1"/>
        <item t="default"/>
      </items>
    </pivotField>
    <pivotField showAll="0"/>
    <pivotField showAll="0"/>
    <pivotField showAll="0"/>
    <pivotField showAll="0">
      <items count="7">
        <item x="0"/>
        <item x="1"/>
        <item x="2"/>
        <item x="3"/>
        <item x="4"/>
        <item x="5"/>
        <item t="default"/>
      </items>
    </pivotField>
    <pivotField showAll="0"/>
    <pivotField numFmtId="9" showAll="0"/>
  </pivotFields>
  <rowFields count="1">
    <field x="3"/>
  </rowFields>
  <rowItems count="6">
    <i>
      <x v="3"/>
    </i>
    <i>
      <x v="4"/>
    </i>
    <i>
      <x/>
    </i>
    <i>
      <x v="1"/>
    </i>
    <i>
      <x v="2"/>
    </i>
    <i t="grand">
      <x/>
    </i>
  </rowItems>
  <colItems count="1">
    <i/>
  </colItems>
  <dataFields count="1">
    <dataField name="Sum of Quantity" fld="6" baseField="0" baseItem="0" numFmtId="165"/>
  </dataFields>
  <formats count="1">
    <format dxfId="164">
      <pivotArea outline="0" collapsedLevelsAreSubtotals="1" fieldPosition="0"/>
    </format>
  </format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4BE491-B467-4B56-8B04-0EB6C582B7E0}"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D3:AE10" firstHeaderRow="1" firstDataRow="1" firstDataCol="1"/>
  <pivotFields count="16">
    <pivotField showAll="0"/>
    <pivotField numFmtId="164" showAll="0"/>
    <pivotField showAll="0"/>
    <pivotField showAll="0">
      <items count="7">
        <item x="1"/>
        <item x="2"/>
        <item x="4"/>
        <item x="0"/>
        <item x="3"/>
        <item m="1" x="5"/>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dataField="1" showAll="0"/>
    <pivotField showAll="0"/>
    <pivotField showAll="0"/>
    <pivotField axis="axisRow" showAll="0">
      <items count="7">
        <item x="0"/>
        <item x="1"/>
        <item x="2"/>
        <item x="3"/>
        <item x="4"/>
        <item x="5"/>
        <item t="default"/>
      </items>
    </pivotField>
    <pivotField showAll="0"/>
    <pivotField numFmtId="9" showAll="0"/>
  </pivotFields>
  <rowFields count="1">
    <field x="13"/>
  </rowFields>
  <rowItems count="7">
    <i>
      <x/>
    </i>
    <i>
      <x v="1"/>
    </i>
    <i>
      <x v="2"/>
    </i>
    <i>
      <x v="3"/>
    </i>
    <i>
      <x v="4"/>
    </i>
    <i>
      <x v="5"/>
    </i>
    <i t="grand">
      <x/>
    </i>
  </rowItems>
  <colItems count="1">
    <i/>
  </colItems>
  <dataFields count="1">
    <dataField name="Sum of Sales" fld="10" baseField="0" baseItem="0" numFmtId="165"/>
  </dataFields>
  <formats count="1">
    <format dxfId="128">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DB22A9-2240-4931-B23E-565AB92B59A1}"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S3:S9" firstHeaderRow="1" firstDataRow="1" firstDataCol="1"/>
  <pivotFields count="16">
    <pivotField showAll="0"/>
    <pivotField numFmtId="164" showAll="0"/>
    <pivotField showAll="0"/>
    <pivotField axis="axisRow" showAll="0">
      <items count="7">
        <item x="1"/>
        <item x="2"/>
        <item x="4"/>
        <item x="0"/>
        <item x="3"/>
        <item m="1" x="5"/>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showAll="0"/>
    <pivotField showAll="0"/>
    <pivotField showAll="0">
      <items count="7">
        <item x="0"/>
        <item x="1"/>
        <item x="2"/>
        <item x="3"/>
        <item x="4"/>
        <item x="5"/>
        <item t="default"/>
      </items>
    </pivotField>
    <pivotField showAll="0"/>
    <pivotField numFmtId="9" showAll="0"/>
  </pivotFields>
  <rowFields count="1">
    <field x="3"/>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05672B-516B-4C83-B1AB-6F065BCFA1A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BR3:BS9" firstHeaderRow="1" firstDataRow="1" firstDataCol="1"/>
  <pivotFields count="16">
    <pivotField showAll="0"/>
    <pivotField numFmtId="164" showAll="0"/>
    <pivotField showAll="0"/>
    <pivotField showAll="0">
      <items count="7">
        <item x="1"/>
        <item x="2"/>
        <item x="4"/>
        <item x="0"/>
        <item x="3"/>
        <item m="1" x="5"/>
        <item t="default"/>
      </items>
    </pivotField>
    <pivotField showAll="0">
      <items count="3">
        <item x="1"/>
        <item x="0"/>
        <item t="default"/>
      </items>
    </pivotField>
    <pivotField axis="axisRow" showAll="0" sortType="ascending">
      <items count="6">
        <item x="2"/>
        <item x="0"/>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3"/>
        <item m="1" x="4"/>
        <item x="0"/>
        <item x="2"/>
        <item x="1"/>
        <item t="default"/>
      </items>
    </pivotField>
    <pivotField dataField="1" showAll="0"/>
    <pivotField showAll="0"/>
    <pivotField showAll="0"/>
    <pivotField showAll="0">
      <items count="7">
        <item x="0"/>
        <item x="1"/>
        <item x="2"/>
        <item x="3"/>
        <item x="4"/>
        <item x="5"/>
        <item t="default"/>
      </items>
    </pivotField>
    <pivotField showAll="0"/>
    <pivotField numFmtId="9" showAll="0"/>
  </pivotFields>
  <rowFields count="1">
    <field x="5"/>
  </rowFields>
  <rowItems count="6">
    <i>
      <x v="3"/>
    </i>
    <i>
      <x v="1"/>
    </i>
    <i>
      <x v="2"/>
    </i>
    <i>
      <x/>
    </i>
    <i>
      <x v="4"/>
    </i>
    <i t="grand">
      <x/>
    </i>
  </rowItems>
  <colItems count="1">
    <i/>
  </colItems>
  <dataFields count="1">
    <dataField name="Sum of Sales" fld="10" baseField="0" baseItem="0" numFmtId="165"/>
  </dataFields>
  <formats count="1">
    <format dxfId="165">
      <pivotArea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311632-4E1F-44A5-90B3-24AB5A98F3AB}"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Z3:BA9" firstHeaderRow="1" firstDataRow="1" firstDataCol="1"/>
  <pivotFields count="16">
    <pivotField showAll="0"/>
    <pivotField numFmtId="164" showAll="0"/>
    <pivotField showAll="0"/>
    <pivotField axis="axisRow" showAll="0" sortType="ascending">
      <items count="7">
        <item x="1"/>
        <item x="2"/>
        <item x="4"/>
        <item x="0"/>
        <item x="3"/>
        <item m="1"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dataField="1" showAll="0"/>
    <pivotField showAll="0"/>
    <pivotField showAll="0"/>
    <pivotField showAll="0">
      <items count="7">
        <item x="0"/>
        <item x="1"/>
        <item x="2"/>
        <item x="3"/>
        <item x="4"/>
        <item x="5"/>
        <item t="default"/>
      </items>
    </pivotField>
    <pivotField showAll="0"/>
    <pivotField numFmtId="9" showAll="0"/>
  </pivotFields>
  <rowFields count="1">
    <field x="3"/>
  </rowFields>
  <rowItems count="6">
    <i>
      <x v="1"/>
    </i>
    <i>
      <x v="4"/>
    </i>
    <i>
      <x/>
    </i>
    <i>
      <x v="3"/>
    </i>
    <i>
      <x v="2"/>
    </i>
    <i t="grand">
      <x/>
    </i>
  </rowItems>
  <colItems count="1">
    <i/>
  </colItems>
  <dataFields count="1">
    <dataField name="Sum of Sales" fld="10" baseField="0" baseItem="0" numFmtId="165"/>
  </dataFields>
  <formats count="1">
    <format dxfId="166">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2B2069-5504-4CEB-9B2A-E2F1F14EA25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A16" firstHeaderRow="1" firstDataRow="1" firstDataCol="0"/>
  <pivotFields count="16">
    <pivotField dataField="1" showAll="0"/>
    <pivotField numFmtId="164" showAll="0"/>
    <pivotField showAll="0"/>
    <pivotField showAll="0">
      <items count="7">
        <item x="1"/>
        <item x="2"/>
        <item x="4"/>
        <item x="0"/>
        <item x="3"/>
        <item m="1" x="5"/>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showAll="0"/>
    <pivotField showAll="0"/>
    <pivotField showAll="0">
      <items count="7">
        <item x="0"/>
        <item x="1"/>
        <item x="2"/>
        <item x="3"/>
        <item x="4"/>
        <item x="5"/>
        <item t="default"/>
      </items>
    </pivotField>
    <pivotField showAll="0"/>
    <pivotField numFmtId="9"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FF9395-2296-4278-80F4-1D406987A6DB}"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BK3:BL6" firstHeaderRow="1" firstDataRow="1" firstDataCol="1"/>
  <pivotFields count="16">
    <pivotField showAll="0"/>
    <pivotField numFmtId="164" showAll="0"/>
    <pivotField showAll="0"/>
    <pivotField showAll="0">
      <items count="7">
        <item x="1"/>
        <item x="2"/>
        <item x="4"/>
        <item x="0"/>
        <item x="3"/>
        <item m="1" x="5"/>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showAll="0"/>
    <pivotField dataField="1" showAll="0"/>
    <pivotField showAll="0">
      <items count="7">
        <item x="0"/>
        <item x="1"/>
        <item x="2"/>
        <item x="3"/>
        <item x="4"/>
        <item x="5"/>
        <item t="default"/>
      </items>
    </pivotField>
    <pivotField showAll="0"/>
    <pivotField numFmtId="9" showAll="0"/>
  </pivotFields>
  <rowFields count="1">
    <field x="4"/>
  </rowFields>
  <rowItems count="3">
    <i>
      <x v="1"/>
    </i>
    <i>
      <x/>
    </i>
    <i t="grand">
      <x/>
    </i>
  </rowItems>
  <colItems count="1">
    <i/>
  </colItems>
  <dataFields count="1">
    <dataField name="Sum of Profit" fld="12" baseField="0" baseItem="0" numFmtId="165"/>
  </dataFields>
  <formats count="1">
    <format dxfId="167">
      <pivotArea outline="0" collapsedLevelsAreSubtotals="1" fieldPosition="0"/>
    </format>
  </format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8C33A3B-EAF9-4636-A5B9-7DDF0F340167}"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3:N6" firstHeaderRow="1" firstDataRow="1" firstDataCol="1"/>
  <pivotFields count="16">
    <pivotField showAll="0"/>
    <pivotField numFmtId="164" showAll="0"/>
    <pivotField showAll="0"/>
    <pivotField showAll="0">
      <items count="7">
        <item x="1"/>
        <item x="2"/>
        <item x="4"/>
        <item x="0"/>
        <item x="3"/>
        <item m="1" x="5"/>
        <item t="default"/>
      </items>
    </pivotField>
    <pivotField axis="axisRow"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showAll="0"/>
    <pivotField showAll="0"/>
    <pivotField showAll="0">
      <items count="7">
        <item x="0"/>
        <item x="1"/>
        <item x="2"/>
        <item x="3"/>
        <item x="4"/>
        <item x="5"/>
        <item t="default"/>
      </items>
    </pivotField>
    <pivotField showAll="0"/>
    <pivotField numFmtId="9" showAll="0"/>
  </pivotFields>
  <rowFields count="1">
    <field x="4"/>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768F27-96C3-4177-A67F-4BA3BBAD3594}"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X3:X8" firstHeaderRow="1" firstDataRow="1" firstDataCol="1"/>
  <pivotFields count="16">
    <pivotField showAll="0"/>
    <pivotField numFmtId="164" showAll="0"/>
    <pivotField showAll="0"/>
    <pivotField showAll="0">
      <items count="7">
        <item x="1"/>
        <item x="2"/>
        <item x="4"/>
        <item x="0"/>
        <item x="3"/>
        <item m="1" x="5"/>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axis="axisRow" showAll="0">
      <items count="6">
        <item x="3"/>
        <item m="1" x="4"/>
        <item x="0"/>
        <item x="2"/>
        <item x="1"/>
        <item t="default"/>
      </items>
    </pivotField>
    <pivotField showAll="0"/>
    <pivotField showAll="0"/>
    <pivotField showAll="0"/>
    <pivotField showAll="0">
      <items count="7">
        <item x="0"/>
        <item x="1"/>
        <item x="2"/>
        <item x="3"/>
        <item x="4"/>
        <item x="5"/>
        <item t="default"/>
      </items>
    </pivotField>
    <pivotField showAll="0"/>
    <pivotField numFmtId="9" showAll="0"/>
  </pivotFields>
  <rowFields count="1">
    <field x="9"/>
  </rowFields>
  <rowItems count="5">
    <i>
      <x/>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7552AEC-5120-42A7-8E62-2B4F58A60EAF}"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A13" firstHeaderRow="1" firstDataRow="1" firstDataCol="0"/>
  <pivotFields count="16">
    <pivotField showAll="0"/>
    <pivotField numFmtId="164" showAll="0"/>
    <pivotField showAll="0"/>
    <pivotField showAll="0">
      <items count="7">
        <item x="1"/>
        <item x="2"/>
        <item x="4"/>
        <item x="0"/>
        <item x="3"/>
        <item m="1" x="5"/>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showAll="0"/>
    <pivotField showAll="0"/>
    <pivotField showAll="0">
      <items count="7">
        <item x="0"/>
        <item x="1"/>
        <item x="2"/>
        <item x="3"/>
        <item x="4"/>
        <item x="5"/>
        <item t="default"/>
      </items>
    </pivotField>
    <pivotField showAll="0"/>
    <pivotField dataField="1" numFmtId="9" showAll="0"/>
  </pivotFields>
  <rowItems count="1">
    <i/>
  </rowItems>
  <colItems count="1">
    <i/>
  </colItems>
  <dataFields count="1">
    <dataField name="Average of Profit_Margin_%"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334396F-1BC8-45E8-9DE0-17F4BC2F172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6">
    <pivotField showAll="0"/>
    <pivotField numFmtId="164" showAll="0"/>
    <pivotField showAll="0"/>
    <pivotField showAll="0">
      <items count="7">
        <item x="1"/>
        <item x="2"/>
        <item x="4"/>
        <item x="0"/>
        <item x="3"/>
        <item m="1" x="5"/>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showAll="0"/>
    <pivotField dataField="1" showAll="0"/>
    <pivotField showAll="0">
      <items count="7">
        <item x="0"/>
        <item x="1"/>
        <item x="2"/>
        <item x="3"/>
        <item x="4"/>
        <item x="5"/>
        <item t="default"/>
      </items>
    </pivotField>
    <pivotField showAll="0"/>
    <pivotField numFmtId="9" showAll="0"/>
  </pivotFields>
  <rowItems count="1">
    <i/>
  </rowItems>
  <colItems count="1">
    <i/>
  </colItems>
  <dataFields count="1">
    <dataField name="Sum of Profit" fld="12" baseField="0" baseItem="0" numFmtId="165"/>
  </dataFields>
  <formats count="1">
    <format dxfId="1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FC3CEC0-9FBF-4E82-84C5-7FB75631501C}"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10" firstHeaderRow="1" firstDataRow="1" firstDataCol="1"/>
  <pivotFields count="16">
    <pivotField showAll="0"/>
    <pivotField numFmtId="164" showAll="0"/>
    <pivotField showAll="0"/>
    <pivotField showAll="0">
      <items count="7">
        <item x="1"/>
        <item x="2"/>
        <item x="4"/>
        <item x="0"/>
        <item x="3"/>
        <item m="1" x="5"/>
        <item t="default"/>
      </items>
    </pivotField>
    <pivotField showAll="0">
      <items count="3">
        <item x="1"/>
        <item x="0"/>
        <item t="default"/>
      </items>
    </pivotField>
    <pivotField showAll="0">
      <items count="6">
        <item x="2"/>
        <item x="0"/>
        <item x="1"/>
        <item x="4"/>
        <item x="3"/>
        <item t="default"/>
      </items>
    </pivotField>
    <pivotField showAll="0"/>
    <pivotField showAll="0"/>
    <pivotField showAll="0"/>
    <pivotField showAll="0">
      <items count="6">
        <item x="3"/>
        <item m="1" x="4"/>
        <item x="0"/>
        <item x="2"/>
        <item x="1"/>
        <item t="default"/>
      </items>
    </pivotField>
    <pivotField showAll="0"/>
    <pivotField showAll="0"/>
    <pivotField showAll="0"/>
    <pivotField axis="axisRow" showAll="0">
      <items count="7">
        <item x="0"/>
        <item x="1"/>
        <item x="2"/>
        <item x="3"/>
        <item x="4"/>
        <item x="5"/>
        <item t="default"/>
      </items>
    </pivotField>
    <pivotField showAll="0"/>
    <pivotField numFmtId="9" showAll="0"/>
  </pivotFields>
  <rowFields count="1">
    <field x="13"/>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71C1326-EC3E-4A46-AB05-7AF4E538B99C}" sourceName="Month">
  <pivotTables>
    <pivotTable tabId="4" name="PivotTable7"/>
    <pivotTable tabId="4" name="PivotTable8"/>
    <pivotTable tabId="4" name="PivotTable9"/>
    <pivotTable tabId="4" name="PivotTable10"/>
    <pivotTable tabId="4" name="PivotTable11"/>
    <pivotTable tabId="4" name="PivotTable12"/>
    <pivotTable tabId="4" name="PivotTable13"/>
    <pivotTable tabId="4" name="PivotTable14"/>
    <pivotTable tabId="4" name="PivotTable15"/>
    <pivotTable tabId="4" name="PivotTable1"/>
    <pivotTable tabId="4" name="PivotTable16"/>
    <pivotTable tabId="4" name="PivotTable17"/>
    <pivotTable tabId="4" name="PivotTable2"/>
    <pivotTable tabId="4" name="PivotTable3"/>
    <pivotTable tabId="4" name="PivotTable4"/>
    <pivotTable tabId="4" name="PivotTable5"/>
    <pivotTable tabId="4" name="PivotTable6"/>
    <pivotTable tabId="4" name="PivotTable18"/>
  </pivotTables>
  <data>
    <tabular pivotCacheId="1601402673">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B915C9-A68C-41C1-8B22-544936D23338}" sourceName="Region">
  <pivotTables>
    <pivotTable tabId="4" name="PivotTable8"/>
    <pivotTable tabId="4" name="PivotTable9"/>
    <pivotTable tabId="4" name="PivotTable10"/>
    <pivotTable tabId="4" name="PivotTable11"/>
    <pivotTable tabId="4" name="PivotTable12"/>
    <pivotTable tabId="4" name="PivotTable13"/>
    <pivotTable tabId="4" name="PivotTable14"/>
    <pivotTable tabId="4" name="PivotTable15"/>
    <pivotTable tabId="4" name="PivotTable1"/>
    <pivotTable tabId="4" name="PivotTable16"/>
    <pivotTable tabId="4" name="PivotTable17"/>
    <pivotTable tabId="4" name="PivotTable2"/>
    <pivotTable tabId="4" name="PivotTable3"/>
    <pivotTable tabId="4" name="PivotTable4"/>
    <pivotTable tabId="4" name="PivotTable5"/>
    <pivotTable tabId="4" name="PivotTable6"/>
    <pivotTable tabId="4" name="PivotTable7"/>
    <pivotTable tabId="4" name="PivotTable18"/>
  </pivotTables>
  <data>
    <tabular pivotCacheId="1601402673">
      <items count="5">
        <i x="2" s="1"/>
        <i x="0"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82A4FE2-EACD-49D2-AE7E-593F2BEA18DE}" sourceName="Category">
  <pivotTables>
    <pivotTable tabId="4" name="PivotTable9"/>
    <pivotTable tabId="4" name="PivotTable10"/>
    <pivotTable tabId="4" name="PivotTable11"/>
    <pivotTable tabId="4" name="PivotTable12"/>
    <pivotTable tabId="4" name="PivotTable13"/>
    <pivotTable tabId="4" name="PivotTable14"/>
    <pivotTable tabId="4" name="PivotTable15"/>
    <pivotTable tabId="4" name="PivotTable1"/>
    <pivotTable tabId="4" name="PivotTable16"/>
    <pivotTable tabId="4" name="PivotTable17"/>
    <pivotTable tabId="4" name="PivotTable2"/>
    <pivotTable tabId="4" name="PivotTable3"/>
    <pivotTable tabId="4" name="PivotTable4"/>
    <pivotTable tabId="4" name="PivotTable5"/>
    <pivotTable tabId="4" name="PivotTable6"/>
    <pivotTable tabId="4" name="PivotTable7"/>
    <pivotTable tabId="4" name="PivotTable8"/>
    <pivotTable tabId="4" name="PivotTable18"/>
  </pivotTables>
  <data>
    <tabular pivotCacheId="160140267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BD14E13-8AD8-4E92-9CEC-E751CF499EA7}" sourceName="Product">
  <pivotTables>
    <pivotTable tabId="4" name="PivotTable10"/>
    <pivotTable tabId="4" name="PivotTable11"/>
    <pivotTable tabId="4" name="PivotTable12"/>
    <pivotTable tabId="4" name="PivotTable13"/>
    <pivotTable tabId="4" name="PivotTable14"/>
    <pivotTable tabId="4" name="PivotTable15"/>
    <pivotTable tabId="4" name="PivotTable1"/>
    <pivotTable tabId="4" name="PivotTable16"/>
    <pivotTable tabId="4" name="PivotTable17"/>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8"/>
  </pivotTables>
  <data>
    <tabular pivotCacheId="1601402673">
      <items count="6">
        <i x="1" s="1"/>
        <i x="2" s="1"/>
        <i x="4" s="1"/>
        <i x="0" s="1"/>
        <i x="3"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7D93FD01-E0B3-43A8-987A-096394658032}" sourceName="Payment_Mode">
  <pivotTables>
    <pivotTable tabId="4" name="PivotTable11"/>
    <pivotTable tabId="4" name="PivotTable12"/>
    <pivotTable tabId="4" name="PivotTable13"/>
    <pivotTable tabId="4" name="PivotTable14"/>
    <pivotTable tabId="4" name="PivotTable15"/>
    <pivotTable tabId="4" name="PivotTable1"/>
    <pivotTable tabId="4" name="PivotTable16"/>
    <pivotTable tabId="4" name="PivotTable17"/>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8"/>
  </pivotTables>
  <data>
    <tabular pivotCacheId="1601402673">
      <items count="5">
        <i x="3" s="1"/>
        <i x="0" s="1"/>
        <i x="2"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9B59F4E-D3DB-487B-BEBB-E5C93DA6EE95}" cache="Slicer_Month" caption="Month" columnCount="2" rowHeight="241300"/>
  <slicer name="Region" xr10:uid="{732AF79C-5385-468B-82B5-C1AA8C0DCE96}" cache="Slicer_Region" caption="Region" startItem="2" rowHeight="241300"/>
  <slicer name="Category" xr10:uid="{982DA6C4-1337-459A-A451-554468F23137}" cache="Slicer_Category" caption="Category" rowHeight="241300"/>
  <slicer name="Product" xr10:uid="{3F920B35-947E-4565-8BC4-38959FF47FC2}" cache="Slicer_Product" caption="Product" rowHeight="241300"/>
  <slicer name="Payment_Mode" xr10:uid="{78B377C9-9E13-41F8-B96F-FD26283E9A3E}" cache="Slicer_Payment_Mode" caption="Payment_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A110B1D8-D2F6-41BE-890B-B780330E9E07}" cache="Slicer_Month" caption="Month" columnCount="2" rowHeight="241300"/>
  <slicer name="Region 1" xr10:uid="{AA7B9086-3C01-44DD-A1AE-B4BCC0D92447}" cache="Slicer_Region" caption="Region" rowHeight="241300"/>
  <slicer name="Category 1" xr10:uid="{FAD7C7CD-522D-49EC-89AB-A5016A602C0B}" cache="Slicer_Category" caption="Category" rowHeight="241300"/>
  <slicer name="Product 1" xr10:uid="{395F1D0D-A4F8-41DB-92CD-DC1206669281}" cache="Slicer_Product" caption="Product" startItem="2" rowHeight="241300"/>
  <slicer name="Payment_Mode 1" xr10:uid="{6C2C047B-DC32-4BB0-9A7C-C6CE1F652F34}" cache="Slicer_Payment_Mode" caption="Payment_Mode" startItem="1" rowHeight="241300"/>
</slicers>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23BE9-4A5D-4F89-8CBD-B7DDC392CC5C}">
  <dimension ref="A3:CP17"/>
  <sheetViews>
    <sheetView topLeftCell="CI10" workbookViewId="0">
      <selection activeCell="CP4" sqref="CP4"/>
    </sheetView>
  </sheetViews>
  <sheetFormatPr defaultRowHeight="14.5" x14ac:dyDescent="0.35"/>
  <cols>
    <col min="1" max="2" width="16.36328125" bestFit="1" customWidth="1"/>
    <col min="3" max="3" width="12.36328125" bestFit="1" customWidth="1"/>
    <col min="4" max="4" width="11.26953125" bestFit="1" customWidth="1"/>
    <col min="8" max="8" width="12.36328125" bestFit="1" customWidth="1"/>
    <col min="14" max="14" width="12.36328125" bestFit="1" customWidth="1"/>
    <col min="19" max="19" width="12.36328125" bestFit="1" customWidth="1"/>
    <col min="24" max="24" width="12.36328125" bestFit="1" customWidth="1"/>
    <col min="30" max="30" width="12.36328125" bestFit="1" customWidth="1"/>
    <col min="31" max="31" width="11.26953125" bestFit="1" customWidth="1"/>
    <col min="41" max="41" width="12.36328125" bestFit="1" customWidth="1"/>
    <col min="42" max="42" width="11.81640625" bestFit="1" customWidth="1"/>
    <col min="52" max="52" width="12.36328125" bestFit="1" customWidth="1"/>
    <col min="53" max="54" width="11.26953125" bestFit="1" customWidth="1"/>
    <col min="63" max="63" width="12.36328125" bestFit="1" customWidth="1"/>
    <col min="64" max="65" width="11.81640625" bestFit="1" customWidth="1"/>
    <col min="70" max="70" width="12.36328125" bestFit="1" customWidth="1"/>
    <col min="71" max="71" width="11.26953125" bestFit="1" customWidth="1"/>
    <col min="78" max="78" width="12.36328125" bestFit="1" customWidth="1"/>
    <col min="79" max="79" width="14.54296875" bestFit="1" customWidth="1"/>
    <col min="86" max="86" width="12.36328125" bestFit="1" customWidth="1"/>
    <col min="87" max="87" width="22.1796875" bestFit="1" customWidth="1"/>
    <col min="93" max="93" width="12.36328125" bestFit="1" customWidth="1"/>
    <col min="94" max="95" width="10.81640625" bestFit="1" customWidth="1"/>
  </cols>
  <sheetData>
    <row r="3" spans="1:94" x14ac:dyDescent="0.35">
      <c r="A3" t="s">
        <v>219</v>
      </c>
      <c r="C3" s="9" t="s">
        <v>211</v>
      </c>
      <c r="H3" s="9" t="s">
        <v>211</v>
      </c>
      <c r="N3" s="9" t="s">
        <v>211</v>
      </c>
      <c r="S3" s="9" t="s">
        <v>211</v>
      </c>
      <c r="X3" s="9" t="s">
        <v>211</v>
      </c>
      <c r="AD3" s="9" t="s">
        <v>211</v>
      </c>
      <c r="AE3" t="s">
        <v>219</v>
      </c>
      <c r="AO3" s="9" t="s">
        <v>211</v>
      </c>
      <c r="AP3" t="s">
        <v>220</v>
      </c>
      <c r="AZ3" s="9" t="s">
        <v>211</v>
      </c>
      <c r="BA3" t="s">
        <v>219</v>
      </c>
      <c r="BK3" s="9" t="s">
        <v>211</v>
      </c>
      <c r="BL3" t="s">
        <v>220</v>
      </c>
      <c r="BR3" s="9" t="s">
        <v>211</v>
      </c>
      <c r="BS3" t="s">
        <v>219</v>
      </c>
      <c r="BZ3" s="9" t="s">
        <v>211</v>
      </c>
      <c r="CA3" t="s">
        <v>221</v>
      </c>
      <c r="CH3" s="9" t="s">
        <v>211</v>
      </c>
      <c r="CI3" t="s">
        <v>224</v>
      </c>
      <c r="CO3" s="9" t="s">
        <v>211</v>
      </c>
      <c r="CP3" t="s">
        <v>225</v>
      </c>
    </row>
    <row r="4" spans="1:94" x14ac:dyDescent="0.35">
      <c r="A4" s="11">
        <v>2629364.5499999998</v>
      </c>
      <c r="C4" s="10" t="s">
        <v>212</v>
      </c>
      <c r="H4" s="10" t="s">
        <v>179</v>
      </c>
      <c r="N4" s="10" t="s">
        <v>177</v>
      </c>
      <c r="S4" s="10" t="s">
        <v>172</v>
      </c>
      <c r="X4" s="10" t="s">
        <v>185</v>
      </c>
      <c r="AD4" s="10" t="s">
        <v>212</v>
      </c>
      <c r="AE4" s="11">
        <v>177447.65</v>
      </c>
      <c r="AO4" s="10" t="s">
        <v>212</v>
      </c>
      <c r="AP4" s="11">
        <v>54666.280000000013</v>
      </c>
      <c r="AZ4" s="10" t="s">
        <v>173</v>
      </c>
      <c r="BA4" s="11">
        <v>67251.3</v>
      </c>
      <c r="BK4" s="10" t="s">
        <v>176</v>
      </c>
      <c r="BL4" s="11">
        <v>711452.65000000026</v>
      </c>
      <c r="BR4" s="10" t="s">
        <v>187</v>
      </c>
      <c r="BS4" s="11">
        <v>1166.2</v>
      </c>
      <c r="BZ4" s="10" t="s">
        <v>171</v>
      </c>
      <c r="CA4" s="11">
        <v>66</v>
      </c>
      <c r="CH4" s="10" t="s">
        <v>185</v>
      </c>
      <c r="CI4" s="11">
        <v>19</v>
      </c>
      <c r="CO4" s="10" t="s">
        <v>172</v>
      </c>
      <c r="CP4" s="11">
        <v>77521.47</v>
      </c>
    </row>
    <row r="5" spans="1:94" x14ac:dyDescent="0.35">
      <c r="A5" s="11">
        <f>GETPIVOTDATA("Sales",$A$3)</f>
        <v>2629364.5499999998</v>
      </c>
      <c r="C5" s="10" t="s">
        <v>213</v>
      </c>
      <c r="H5" s="10" t="s">
        <v>178</v>
      </c>
      <c r="N5" s="10" t="s">
        <v>176</v>
      </c>
      <c r="S5" s="10" t="s">
        <v>173</v>
      </c>
      <c r="X5" s="10" t="s">
        <v>182</v>
      </c>
      <c r="AD5" s="10" t="s">
        <v>213</v>
      </c>
      <c r="AE5" s="11">
        <v>662610.15</v>
      </c>
      <c r="AO5" s="10" t="s">
        <v>213</v>
      </c>
      <c r="AP5" s="11">
        <v>213652.36000000002</v>
      </c>
      <c r="AZ5" s="10" t="s">
        <v>174</v>
      </c>
      <c r="BA5" s="11">
        <v>72674.250000000015</v>
      </c>
      <c r="BK5" s="10" t="s">
        <v>177</v>
      </c>
      <c r="BL5" s="11">
        <v>68550.87</v>
      </c>
      <c r="BR5" s="10" t="s">
        <v>178</v>
      </c>
      <c r="BS5" s="11">
        <v>496216.65</v>
      </c>
      <c r="BZ5" s="10" t="s">
        <v>174</v>
      </c>
      <c r="CA5" s="11">
        <v>52</v>
      </c>
      <c r="CH5" s="10" t="s">
        <v>182</v>
      </c>
      <c r="CI5" s="11">
        <v>17</v>
      </c>
      <c r="CO5" s="10" t="s">
        <v>173</v>
      </c>
      <c r="CP5" s="11">
        <v>45870.419999999991</v>
      </c>
    </row>
    <row r="6" spans="1:94" x14ac:dyDescent="0.35">
      <c r="A6" t="s">
        <v>220</v>
      </c>
      <c r="C6" s="10" t="s">
        <v>214</v>
      </c>
      <c r="H6" s="10" t="s">
        <v>181</v>
      </c>
      <c r="N6" s="10" t="s">
        <v>218</v>
      </c>
      <c r="S6" s="10" t="s">
        <v>175</v>
      </c>
      <c r="X6" s="10" t="s">
        <v>184</v>
      </c>
      <c r="AD6" s="10" t="s">
        <v>214</v>
      </c>
      <c r="AE6" s="11">
        <v>411976.65</v>
      </c>
      <c r="AO6" s="10" t="s">
        <v>214</v>
      </c>
      <c r="AP6" s="11">
        <v>129291.87000000001</v>
      </c>
      <c r="AZ6" s="10" t="s">
        <v>172</v>
      </c>
      <c r="BA6" s="11">
        <v>109501.65000000001</v>
      </c>
      <c r="BK6" s="10" t="s">
        <v>218</v>
      </c>
      <c r="BL6" s="11">
        <v>780003.52000000025</v>
      </c>
      <c r="BR6" s="10" t="s">
        <v>181</v>
      </c>
      <c r="BS6" s="11">
        <v>622693.85</v>
      </c>
      <c r="BZ6" s="10" t="s">
        <v>172</v>
      </c>
      <c r="CA6" s="11">
        <v>39</v>
      </c>
      <c r="CH6" s="10" t="s">
        <v>184</v>
      </c>
      <c r="CI6" s="11">
        <v>20</v>
      </c>
      <c r="CO6" s="10" t="s">
        <v>175</v>
      </c>
      <c r="CP6" s="11">
        <v>1041636.7900000002</v>
      </c>
    </row>
    <row r="7" spans="1:94" x14ac:dyDescent="0.35">
      <c r="A7" s="11">
        <v>780003.52000000025</v>
      </c>
      <c r="C7" s="10" t="s">
        <v>215</v>
      </c>
      <c r="H7" s="10" t="s">
        <v>187</v>
      </c>
      <c r="S7" s="10" t="s">
        <v>171</v>
      </c>
      <c r="X7" s="10" t="s">
        <v>183</v>
      </c>
      <c r="AD7" s="10" t="s">
        <v>215</v>
      </c>
      <c r="AE7" s="11">
        <v>496053.4</v>
      </c>
      <c r="AO7" s="10" t="s">
        <v>215</v>
      </c>
      <c r="AP7" s="11">
        <v>141481.59</v>
      </c>
      <c r="AZ7" s="10" t="s">
        <v>171</v>
      </c>
      <c r="BA7" s="11">
        <v>879964.95</v>
      </c>
      <c r="BR7" s="10" t="s">
        <v>179</v>
      </c>
      <c r="BS7" s="11">
        <v>650732.74999999977</v>
      </c>
      <c r="BZ7" s="10" t="s">
        <v>173</v>
      </c>
      <c r="CA7" s="11">
        <v>32</v>
      </c>
      <c r="CH7" s="10" t="s">
        <v>183</v>
      </c>
      <c r="CI7" s="11">
        <v>24</v>
      </c>
      <c r="CO7" s="10" t="s">
        <v>171</v>
      </c>
      <c r="CP7" s="11">
        <v>629636.5199999999</v>
      </c>
    </row>
    <row r="8" spans="1:94" x14ac:dyDescent="0.35">
      <c r="A8" s="11">
        <f>GETPIVOTDATA("Profit",$A$6)</f>
        <v>780003.52000000025</v>
      </c>
      <c r="C8" s="10" t="s">
        <v>216</v>
      </c>
      <c r="H8" s="10" t="s">
        <v>180</v>
      </c>
      <c r="S8" s="10" t="s">
        <v>174</v>
      </c>
      <c r="X8" s="10" t="s">
        <v>218</v>
      </c>
      <c r="AD8" s="10" t="s">
        <v>216</v>
      </c>
      <c r="AE8" s="11">
        <v>265665.5</v>
      </c>
      <c r="AO8" s="10" t="s">
        <v>216</v>
      </c>
      <c r="AP8" s="11">
        <v>72112.219999999987</v>
      </c>
      <c r="AZ8" s="10" t="s">
        <v>175</v>
      </c>
      <c r="BA8" s="11">
        <v>1499972.4000000001</v>
      </c>
      <c r="BR8" s="10" t="s">
        <v>180</v>
      </c>
      <c r="BS8" s="11">
        <v>858555.1</v>
      </c>
      <c r="BZ8" s="10" t="s">
        <v>175</v>
      </c>
      <c r="CA8" s="11">
        <v>30</v>
      </c>
      <c r="CH8" s="10" t="s">
        <v>218</v>
      </c>
      <c r="CI8" s="11">
        <v>80</v>
      </c>
      <c r="CO8" s="10" t="s">
        <v>174</v>
      </c>
      <c r="CP8" s="11">
        <v>54695.830000000009</v>
      </c>
    </row>
    <row r="9" spans="1:94" x14ac:dyDescent="0.35">
      <c r="A9" t="s">
        <v>221</v>
      </c>
      <c r="C9" s="10" t="s">
        <v>217</v>
      </c>
      <c r="H9" s="10" t="s">
        <v>218</v>
      </c>
      <c r="S9" s="10" t="s">
        <v>218</v>
      </c>
      <c r="AD9" s="10" t="s">
        <v>217</v>
      </c>
      <c r="AE9" s="11">
        <v>615611.19999999995</v>
      </c>
      <c r="AO9" s="10" t="s">
        <v>217</v>
      </c>
      <c r="AP9" s="11">
        <v>168799.19999999998</v>
      </c>
      <c r="AZ9" s="10" t="s">
        <v>218</v>
      </c>
      <c r="BA9" s="11">
        <v>2629364.5499999998</v>
      </c>
      <c r="BR9" s="10" t="s">
        <v>218</v>
      </c>
      <c r="BS9" s="11">
        <v>2629364.5499999998</v>
      </c>
      <c r="BZ9" s="10" t="s">
        <v>218</v>
      </c>
      <c r="CA9" s="11">
        <v>219</v>
      </c>
      <c r="CO9" s="10" t="s">
        <v>218</v>
      </c>
      <c r="CP9" s="11">
        <v>1849361.0300000003</v>
      </c>
    </row>
    <row r="10" spans="1:94" x14ac:dyDescent="0.35">
      <c r="A10" s="11">
        <v>219</v>
      </c>
      <c r="C10" s="10" t="s">
        <v>218</v>
      </c>
      <c r="AD10" s="10" t="s">
        <v>218</v>
      </c>
      <c r="AE10" s="11">
        <v>2629364.5499999998</v>
      </c>
      <c r="AO10" s="10" t="s">
        <v>218</v>
      </c>
      <c r="AP10" s="11">
        <v>780003.5199999999</v>
      </c>
    </row>
    <row r="11" spans="1:94" x14ac:dyDescent="0.35">
      <c r="A11" s="11">
        <f>GETPIVOTDATA("Quantity",$A$9)</f>
        <v>219</v>
      </c>
    </row>
    <row r="12" spans="1:94" x14ac:dyDescent="0.35">
      <c r="A12" t="s">
        <v>222</v>
      </c>
    </row>
    <row r="13" spans="1:94" x14ac:dyDescent="0.35">
      <c r="A13" s="5">
        <v>0.28851339985833335</v>
      </c>
    </row>
    <row r="14" spans="1:94" x14ac:dyDescent="0.35">
      <c r="A14">
        <f>GETPIVOTDATA("Profit_Margin_%",$A$12)</f>
        <v>0.28851339985833335</v>
      </c>
    </row>
    <row r="15" spans="1:94" x14ac:dyDescent="0.35">
      <c r="A15" t="s">
        <v>223</v>
      </c>
    </row>
    <row r="16" spans="1:94" x14ac:dyDescent="0.35">
      <c r="A16" s="5">
        <v>80</v>
      </c>
    </row>
    <row r="17" spans="1:1" x14ac:dyDescent="0.35">
      <c r="A17">
        <f>GETPIVOTDATA("Order_ID",$A$15)</f>
        <v>80</v>
      </c>
    </row>
  </sheetData>
  <pageMargins left="0.7" right="0.7" top="0.75" bottom="0.75" header="0.3" footer="0.3"/>
  <pageSetup orientation="portrait" r:id="rId19"/>
  <drawing r:id="rId20"/>
  <extLst>
    <ext xmlns:x14="http://schemas.microsoft.com/office/spreadsheetml/2009/9/main" uri="{A8765BA9-456A-4dab-B4F3-ACF838C121DE}">
      <x14:slicerList>
        <x14:slicer r:id="rId2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79A2E-87CD-49F2-AD76-7788AF2050AC}">
  <dimension ref="A1"/>
  <sheetViews>
    <sheetView showGridLines="0" tabSelected="1" topLeftCell="D37" zoomScaleNormal="100" workbookViewId="0">
      <selection activeCell="AI24" sqref="AI2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1"/>
  <sheetViews>
    <sheetView topLeftCell="L1" workbookViewId="0">
      <selection activeCell="U6" sqref="U6"/>
    </sheetView>
  </sheetViews>
  <sheetFormatPr defaultRowHeight="14.5" x14ac:dyDescent="0.35"/>
  <cols>
    <col min="1" max="1" width="11.36328125" customWidth="1"/>
    <col min="2" max="2" width="18.453125" customWidth="1"/>
    <col min="4" max="4" width="12.453125" customWidth="1"/>
    <col min="5" max="5" width="12.26953125" customWidth="1"/>
    <col min="6" max="6" width="11.81640625" customWidth="1"/>
    <col min="8" max="8" width="12.1796875" customWidth="1"/>
    <col min="9" max="9" width="14.54296875" customWidth="1"/>
    <col min="10" max="10" width="16.36328125" customWidth="1"/>
    <col min="15" max="15" width="9.6328125" customWidth="1"/>
    <col min="16" max="16" width="1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3" t="s">
        <v>188</v>
      </c>
      <c r="O1" s="3" t="s">
        <v>189</v>
      </c>
      <c r="P1" s="3" t="s">
        <v>190</v>
      </c>
    </row>
    <row r="2" spans="1:16" x14ac:dyDescent="0.35">
      <c r="A2" t="s">
        <v>13</v>
      </c>
      <c r="B2" s="2">
        <v>46023</v>
      </c>
      <c r="C2" t="s">
        <v>93</v>
      </c>
      <c r="D2" t="s">
        <v>171</v>
      </c>
      <c r="E2" t="s">
        <v>176</v>
      </c>
      <c r="F2" t="s">
        <v>178</v>
      </c>
      <c r="G2">
        <v>3</v>
      </c>
      <c r="H2">
        <v>13962</v>
      </c>
      <c r="I2">
        <v>0</v>
      </c>
      <c r="J2" t="s">
        <v>182</v>
      </c>
      <c r="K2">
        <v>41886</v>
      </c>
      <c r="L2">
        <v>28238.14</v>
      </c>
      <c r="M2">
        <v>13647.86</v>
      </c>
      <c r="N2" t="str">
        <f t="shared" ref="N2:N33" si="0">TEXT(B2,"mmm")</f>
        <v>Jan</v>
      </c>
      <c r="O2">
        <f t="shared" ref="O2:O33" si="1">MONTH(B2)</f>
        <v>1</v>
      </c>
      <c r="P2" s="4">
        <f>M2/K2</f>
        <v>0.32583345270496111</v>
      </c>
    </row>
    <row r="3" spans="1:16" x14ac:dyDescent="0.35">
      <c r="A3" t="s">
        <v>14</v>
      </c>
      <c r="B3" s="2">
        <v>46025.278481012647</v>
      </c>
      <c r="C3" t="s">
        <v>94</v>
      </c>
      <c r="D3" t="s">
        <v>172</v>
      </c>
      <c r="E3" t="s">
        <v>177</v>
      </c>
      <c r="F3" t="s">
        <v>178</v>
      </c>
      <c r="G3">
        <v>1</v>
      </c>
      <c r="H3">
        <v>3480</v>
      </c>
      <c r="I3">
        <v>5</v>
      </c>
      <c r="J3" t="s">
        <v>183</v>
      </c>
      <c r="K3">
        <v>3306</v>
      </c>
      <c r="L3">
        <v>2339.9699999999998</v>
      </c>
      <c r="M3">
        <v>966.03</v>
      </c>
      <c r="N3" t="str">
        <f t="shared" si="0"/>
        <v>Jan</v>
      </c>
      <c r="O3">
        <f t="shared" si="1"/>
        <v>1</v>
      </c>
      <c r="P3" s="4">
        <f t="shared" ref="P3:P66" si="2">M3/K3</f>
        <v>0.29220508166969145</v>
      </c>
    </row>
    <row r="4" spans="1:16" x14ac:dyDescent="0.35">
      <c r="A4" t="s">
        <v>15</v>
      </c>
      <c r="B4" s="2">
        <v>46027.556962025323</v>
      </c>
      <c r="C4" t="s">
        <v>95</v>
      </c>
      <c r="D4" t="s">
        <v>173</v>
      </c>
      <c r="E4" t="s">
        <v>177</v>
      </c>
      <c r="F4" t="s">
        <v>178</v>
      </c>
      <c r="G4">
        <v>2</v>
      </c>
      <c r="H4">
        <v>2160</v>
      </c>
      <c r="I4">
        <v>10</v>
      </c>
      <c r="J4" t="s">
        <v>182</v>
      </c>
      <c r="K4">
        <v>3888</v>
      </c>
      <c r="L4">
        <v>2471.5700000000002</v>
      </c>
      <c r="M4">
        <v>1416.43</v>
      </c>
      <c r="N4" t="str">
        <f t="shared" si="0"/>
        <v>Jan</v>
      </c>
      <c r="O4">
        <f t="shared" si="1"/>
        <v>1</v>
      </c>
      <c r="P4" s="4">
        <f t="shared" si="2"/>
        <v>0.36430812757201647</v>
      </c>
    </row>
    <row r="5" spans="1:16" x14ac:dyDescent="0.35">
      <c r="A5" t="s">
        <v>16</v>
      </c>
      <c r="B5" s="2">
        <v>46029.835443037977</v>
      </c>
      <c r="C5" t="s">
        <v>96</v>
      </c>
      <c r="D5" t="s">
        <v>172</v>
      </c>
      <c r="E5" t="s">
        <v>177</v>
      </c>
      <c r="F5" t="s">
        <v>181</v>
      </c>
      <c r="G5">
        <v>2</v>
      </c>
      <c r="H5">
        <v>3379</v>
      </c>
      <c r="I5">
        <v>5</v>
      </c>
      <c r="J5" t="s">
        <v>182</v>
      </c>
      <c r="K5">
        <v>6420.1</v>
      </c>
      <c r="L5">
        <v>4013.01</v>
      </c>
      <c r="M5">
        <v>2407.09</v>
      </c>
      <c r="N5" t="str">
        <f t="shared" si="0"/>
        <v>Jan</v>
      </c>
      <c r="O5">
        <f t="shared" si="1"/>
        <v>1</v>
      </c>
      <c r="P5" s="4">
        <f t="shared" si="2"/>
        <v>0.37493029703587172</v>
      </c>
    </row>
    <row r="6" spans="1:16" x14ac:dyDescent="0.35">
      <c r="A6" t="s">
        <v>17</v>
      </c>
      <c r="B6" s="2">
        <v>46032.113924050624</v>
      </c>
      <c r="C6" t="s">
        <v>97</v>
      </c>
      <c r="D6" t="s">
        <v>172</v>
      </c>
      <c r="E6" t="s">
        <v>177</v>
      </c>
      <c r="F6" t="s">
        <v>178</v>
      </c>
      <c r="G6">
        <v>4</v>
      </c>
      <c r="H6">
        <v>3197</v>
      </c>
      <c r="I6">
        <v>10</v>
      </c>
      <c r="J6" t="s">
        <v>183</v>
      </c>
      <c r="K6">
        <v>11509.2</v>
      </c>
      <c r="L6">
        <v>9351.57</v>
      </c>
      <c r="M6">
        <v>2157.63</v>
      </c>
      <c r="N6" t="str">
        <f t="shared" si="0"/>
        <v>Jan</v>
      </c>
      <c r="O6">
        <f t="shared" si="1"/>
        <v>1</v>
      </c>
      <c r="P6" s="4">
        <f t="shared" si="2"/>
        <v>0.18747002398081536</v>
      </c>
    </row>
    <row r="7" spans="1:16" x14ac:dyDescent="0.35">
      <c r="A7" t="s">
        <v>18</v>
      </c>
      <c r="B7" s="2">
        <v>46034.392405063278</v>
      </c>
      <c r="C7" t="s">
        <v>98</v>
      </c>
      <c r="D7" t="s">
        <v>174</v>
      </c>
      <c r="E7" t="s">
        <v>177</v>
      </c>
      <c r="F7" t="s">
        <v>178</v>
      </c>
      <c r="G7">
        <v>5</v>
      </c>
      <c r="H7">
        <v>1276</v>
      </c>
      <c r="I7">
        <v>5</v>
      </c>
      <c r="J7" t="s">
        <v>184</v>
      </c>
      <c r="K7">
        <v>6061</v>
      </c>
      <c r="L7">
        <v>4771.2</v>
      </c>
      <c r="M7">
        <v>1289.8</v>
      </c>
      <c r="N7" t="str">
        <f t="shared" si="0"/>
        <v>Jan</v>
      </c>
      <c r="O7">
        <f t="shared" si="1"/>
        <v>1</v>
      </c>
      <c r="P7" s="4">
        <f t="shared" si="2"/>
        <v>0.21280316779409339</v>
      </c>
    </row>
    <row r="8" spans="1:16" x14ac:dyDescent="0.35">
      <c r="A8" t="s">
        <v>19</v>
      </c>
      <c r="B8" s="2">
        <v>46036.670886075954</v>
      </c>
      <c r="C8" t="s">
        <v>99</v>
      </c>
      <c r="D8" t="s">
        <v>173</v>
      </c>
      <c r="E8" t="s">
        <v>177</v>
      </c>
      <c r="F8" t="s">
        <v>178</v>
      </c>
      <c r="G8">
        <v>1</v>
      </c>
      <c r="H8">
        <v>2503</v>
      </c>
      <c r="I8">
        <v>0</v>
      </c>
      <c r="J8" t="s">
        <v>183</v>
      </c>
      <c r="K8">
        <v>2503</v>
      </c>
      <c r="L8">
        <v>1900.26</v>
      </c>
      <c r="M8">
        <v>602.74</v>
      </c>
      <c r="N8" t="str">
        <f t="shared" si="0"/>
        <v>Jan</v>
      </c>
      <c r="O8">
        <f t="shared" si="1"/>
        <v>1</v>
      </c>
      <c r="P8" s="4">
        <f t="shared" si="2"/>
        <v>0.24080703156212546</v>
      </c>
    </row>
    <row r="9" spans="1:16" x14ac:dyDescent="0.35">
      <c r="A9" t="s">
        <v>20</v>
      </c>
      <c r="B9" s="2">
        <v>46038.9493670886</v>
      </c>
      <c r="C9" t="s">
        <v>100</v>
      </c>
      <c r="D9" t="s">
        <v>173</v>
      </c>
      <c r="E9" t="s">
        <v>177</v>
      </c>
      <c r="F9" t="s">
        <v>179</v>
      </c>
      <c r="G9">
        <v>1</v>
      </c>
      <c r="H9">
        <v>2391</v>
      </c>
      <c r="I9">
        <v>15</v>
      </c>
      <c r="J9" t="s">
        <v>184</v>
      </c>
      <c r="K9">
        <v>2032.35</v>
      </c>
      <c r="L9">
        <v>1426.28</v>
      </c>
      <c r="M9">
        <v>606.07000000000005</v>
      </c>
      <c r="N9" t="str">
        <f t="shared" si="0"/>
        <v>Jan</v>
      </c>
      <c r="O9">
        <f t="shared" si="1"/>
        <v>1</v>
      </c>
      <c r="P9" s="4">
        <f t="shared" si="2"/>
        <v>0.2982114301178439</v>
      </c>
    </row>
    <row r="10" spans="1:16" x14ac:dyDescent="0.35">
      <c r="A10" t="s">
        <v>21</v>
      </c>
      <c r="B10" s="2">
        <v>46041.227848101262</v>
      </c>
      <c r="C10" t="s">
        <v>101</v>
      </c>
      <c r="D10" t="s">
        <v>173</v>
      </c>
      <c r="E10" t="s">
        <v>177</v>
      </c>
      <c r="F10" t="s">
        <v>178</v>
      </c>
      <c r="G10">
        <v>3</v>
      </c>
      <c r="H10">
        <v>2134</v>
      </c>
      <c r="I10">
        <v>0</v>
      </c>
      <c r="J10" t="s">
        <v>183</v>
      </c>
      <c r="K10">
        <v>6402</v>
      </c>
      <c r="L10">
        <v>4191.13</v>
      </c>
      <c r="M10">
        <v>2210.87</v>
      </c>
      <c r="N10" t="str">
        <f t="shared" si="0"/>
        <v>Jan</v>
      </c>
      <c r="O10">
        <f t="shared" si="1"/>
        <v>1</v>
      </c>
      <c r="P10" s="4">
        <f t="shared" si="2"/>
        <v>0.34534051858794124</v>
      </c>
    </row>
    <row r="11" spans="1:16" x14ac:dyDescent="0.35">
      <c r="A11" t="s">
        <v>22</v>
      </c>
      <c r="B11" s="2">
        <v>46043.506329113923</v>
      </c>
      <c r="C11" t="s">
        <v>102</v>
      </c>
      <c r="D11" t="s">
        <v>172</v>
      </c>
      <c r="E11" t="s">
        <v>177</v>
      </c>
      <c r="F11" t="s">
        <v>180</v>
      </c>
      <c r="G11">
        <v>2</v>
      </c>
      <c r="H11">
        <v>2994</v>
      </c>
      <c r="I11">
        <v>15</v>
      </c>
      <c r="J11" t="s">
        <v>182</v>
      </c>
      <c r="K11">
        <v>5089.8</v>
      </c>
      <c r="L11">
        <v>3314.92</v>
      </c>
      <c r="M11">
        <v>1774.88</v>
      </c>
      <c r="N11" t="str">
        <f t="shared" si="0"/>
        <v>Jan</v>
      </c>
      <c r="O11">
        <f t="shared" si="1"/>
        <v>1</v>
      </c>
      <c r="P11" s="4">
        <f t="shared" si="2"/>
        <v>0.34871311249950881</v>
      </c>
    </row>
    <row r="12" spans="1:16" x14ac:dyDescent="0.35">
      <c r="A12" t="s">
        <v>23</v>
      </c>
      <c r="B12" s="2">
        <v>46045.784810126577</v>
      </c>
      <c r="C12" t="s">
        <v>103</v>
      </c>
      <c r="D12" t="s">
        <v>171</v>
      </c>
      <c r="E12" t="s">
        <v>176</v>
      </c>
      <c r="F12" t="s">
        <v>178</v>
      </c>
      <c r="G12">
        <v>5</v>
      </c>
      <c r="H12">
        <v>14200</v>
      </c>
      <c r="I12">
        <v>5</v>
      </c>
      <c r="J12" t="s">
        <v>182</v>
      </c>
      <c r="K12">
        <v>67450</v>
      </c>
      <c r="L12">
        <v>45194.78</v>
      </c>
      <c r="M12">
        <v>22255.22</v>
      </c>
      <c r="N12" t="str">
        <f t="shared" si="0"/>
        <v>Jan</v>
      </c>
      <c r="O12">
        <f t="shared" si="1"/>
        <v>1</v>
      </c>
      <c r="P12" s="4">
        <f t="shared" si="2"/>
        <v>0.329951371386212</v>
      </c>
    </row>
    <row r="13" spans="1:16" x14ac:dyDescent="0.35">
      <c r="A13" t="s">
        <v>24</v>
      </c>
      <c r="B13" s="2">
        <v>46048.063291139239</v>
      </c>
      <c r="C13" t="s">
        <v>104</v>
      </c>
      <c r="D13" t="s">
        <v>173</v>
      </c>
      <c r="E13" t="s">
        <v>177</v>
      </c>
      <c r="F13" t="s">
        <v>180</v>
      </c>
      <c r="G13">
        <v>4</v>
      </c>
      <c r="H13">
        <v>2639</v>
      </c>
      <c r="I13">
        <v>10</v>
      </c>
      <c r="J13" t="s">
        <v>185</v>
      </c>
      <c r="K13">
        <v>9500.4</v>
      </c>
      <c r="L13">
        <v>6933.82</v>
      </c>
      <c r="M13">
        <v>2566.58</v>
      </c>
      <c r="N13" t="str">
        <f t="shared" si="0"/>
        <v>Jan</v>
      </c>
      <c r="O13">
        <f t="shared" si="1"/>
        <v>1</v>
      </c>
      <c r="P13" s="4">
        <f t="shared" si="2"/>
        <v>0.27015494084459601</v>
      </c>
    </row>
    <row r="14" spans="1:16" x14ac:dyDescent="0.35">
      <c r="A14" t="s">
        <v>25</v>
      </c>
      <c r="B14" s="2">
        <v>46050.3417721519</v>
      </c>
      <c r="C14" t="s">
        <v>105</v>
      </c>
      <c r="D14" t="s">
        <v>172</v>
      </c>
      <c r="E14" t="s">
        <v>177</v>
      </c>
      <c r="F14" t="s">
        <v>180</v>
      </c>
      <c r="G14">
        <v>2</v>
      </c>
      <c r="H14">
        <v>2832</v>
      </c>
      <c r="I14">
        <v>0</v>
      </c>
      <c r="J14" t="s">
        <v>184</v>
      </c>
      <c r="K14">
        <v>5664</v>
      </c>
      <c r="L14">
        <v>4321.17</v>
      </c>
      <c r="M14">
        <v>1342.83</v>
      </c>
      <c r="N14" t="str">
        <f t="shared" si="0"/>
        <v>Jan</v>
      </c>
      <c r="O14">
        <f t="shared" si="1"/>
        <v>1</v>
      </c>
      <c r="P14" s="4">
        <f t="shared" si="2"/>
        <v>0.23708156779661016</v>
      </c>
    </row>
    <row r="15" spans="1:16" x14ac:dyDescent="0.35">
      <c r="A15" t="s">
        <v>26</v>
      </c>
      <c r="B15" s="2">
        <v>46052.620253164547</v>
      </c>
      <c r="C15" t="s">
        <v>106</v>
      </c>
      <c r="D15" t="s">
        <v>174</v>
      </c>
      <c r="E15" t="s">
        <v>177</v>
      </c>
      <c r="F15" t="s">
        <v>180</v>
      </c>
      <c r="G15">
        <v>4</v>
      </c>
      <c r="H15">
        <v>1687</v>
      </c>
      <c r="I15">
        <v>15</v>
      </c>
      <c r="J15" t="s">
        <v>185</v>
      </c>
      <c r="K15">
        <v>5735.8</v>
      </c>
      <c r="L15">
        <v>4313.55</v>
      </c>
      <c r="M15">
        <v>1422.25</v>
      </c>
      <c r="N15" t="str">
        <f t="shared" si="0"/>
        <v>Jan</v>
      </c>
      <c r="O15">
        <f t="shared" si="1"/>
        <v>1</v>
      </c>
      <c r="P15" s="4">
        <f t="shared" si="2"/>
        <v>0.24796017992259142</v>
      </c>
    </row>
    <row r="16" spans="1:16" x14ac:dyDescent="0.35">
      <c r="A16" t="s">
        <v>27</v>
      </c>
      <c r="B16" s="2">
        <v>46054.898734177208</v>
      </c>
      <c r="C16" t="s">
        <v>107</v>
      </c>
      <c r="D16" t="s">
        <v>171</v>
      </c>
      <c r="E16" t="s">
        <v>176</v>
      </c>
      <c r="F16" t="s">
        <v>179</v>
      </c>
      <c r="G16">
        <v>3</v>
      </c>
      <c r="H16">
        <v>14259</v>
      </c>
      <c r="I16">
        <v>0</v>
      </c>
      <c r="J16" t="s">
        <v>185</v>
      </c>
      <c r="K16">
        <v>42777</v>
      </c>
      <c r="L16">
        <v>28916.69</v>
      </c>
      <c r="M16">
        <v>13860.31</v>
      </c>
      <c r="N16" t="str">
        <f t="shared" si="0"/>
        <v>Feb</v>
      </c>
      <c r="O16">
        <f t="shared" si="1"/>
        <v>2</v>
      </c>
      <c r="P16" s="4">
        <f t="shared" si="2"/>
        <v>0.32401313790120856</v>
      </c>
    </row>
    <row r="17" spans="1:16" x14ac:dyDescent="0.35">
      <c r="A17" t="s">
        <v>28</v>
      </c>
      <c r="B17" s="2">
        <v>46057.177215189869</v>
      </c>
      <c r="C17" t="s">
        <v>186</v>
      </c>
      <c r="D17" t="s">
        <v>174</v>
      </c>
      <c r="E17" t="s">
        <v>177</v>
      </c>
      <c r="F17" t="s">
        <v>179</v>
      </c>
      <c r="G17">
        <v>3</v>
      </c>
      <c r="H17">
        <v>1469</v>
      </c>
      <c r="I17">
        <v>15</v>
      </c>
      <c r="J17" t="s">
        <v>183</v>
      </c>
      <c r="K17">
        <v>3745.95</v>
      </c>
      <c r="L17">
        <v>3037.86</v>
      </c>
      <c r="M17">
        <v>708.09</v>
      </c>
      <c r="N17" t="str">
        <f t="shared" si="0"/>
        <v>Feb</v>
      </c>
      <c r="O17">
        <f t="shared" si="1"/>
        <v>2</v>
      </c>
      <c r="P17" s="4">
        <f t="shared" si="2"/>
        <v>0.18902815040243465</v>
      </c>
    </row>
    <row r="18" spans="1:16" x14ac:dyDescent="0.35">
      <c r="A18" t="s">
        <v>29</v>
      </c>
      <c r="B18" s="2">
        <v>46059.455696202524</v>
      </c>
      <c r="C18" t="s">
        <v>108</v>
      </c>
      <c r="D18" t="s">
        <v>171</v>
      </c>
      <c r="E18" t="s">
        <v>176</v>
      </c>
      <c r="F18" t="s">
        <v>179</v>
      </c>
      <c r="G18">
        <v>1</v>
      </c>
      <c r="H18">
        <v>14174</v>
      </c>
      <c r="I18">
        <v>0</v>
      </c>
      <c r="J18" t="s">
        <v>185</v>
      </c>
      <c r="K18">
        <v>14174</v>
      </c>
      <c r="L18">
        <v>10879.67</v>
      </c>
      <c r="M18">
        <v>3294.33</v>
      </c>
      <c r="N18" t="str">
        <f t="shared" si="0"/>
        <v>Feb</v>
      </c>
      <c r="O18">
        <f t="shared" si="1"/>
        <v>2</v>
      </c>
      <c r="P18" s="4">
        <f t="shared" si="2"/>
        <v>0.23242062932129251</v>
      </c>
    </row>
    <row r="19" spans="1:16" x14ac:dyDescent="0.35">
      <c r="A19" t="s">
        <v>30</v>
      </c>
      <c r="B19" s="2">
        <v>46061.734177215178</v>
      </c>
      <c r="C19" t="s">
        <v>109</v>
      </c>
      <c r="D19" t="s">
        <v>172</v>
      </c>
      <c r="E19" t="s">
        <v>177</v>
      </c>
      <c r="F19" t="s">
        <v>178</v>
      </c>
      <c r="G19">
        <v>5</v>
      </c>
      <c r="H19">
        <v>2821</v>
      </c>
      <c r="I19">
        <v>15</v>
      </c>
      <c r="J19" t="s">
        <v>183</v>
      </c>
      <c r="K19">
        <v>11989.25</v>
      </c>
      <c r="L19">
        <v>8762.59</v>
      </c>
      <c r="M19">
        <v>3226.66</v>
      </c>
      <c r="N19" t="str">
        <f t="shared" si="0"/>
        <v>Feb</v>
      </c>
      <c r="O19">
        <f t="shared" si="1"/>
        <v>2</v>
      </c>
      <c r="P19" s="4">
        <f t="shared" si="2"/>
        <v>0.26912942844631649</v>
      </c>
    </row>
    <row r="20" spans="1:16" x14ac:dyDescent="0.35">
      <c r="A20" t="s">
        <v>31</v>
      </c>
      <c r="B20" s="2">
        <v>46064.012658227854</v>
      </c>
      <c r="C20" t="s">
        <v>110</v>
      </c>
      <c r="D20" t="s">
        <v>175</v>
      </c>
      <c r="E20" t="s">
        <v>176</v>
      </c>
      <c r="F20" t="s">
        <v>180</v>
      </c>
      <c r="G20">
        <v>4</v>
      </c>
      <c r="H20">
        <v>55469</v>
      </c>
      <c r="I20">
        <v>15</v>
      </c>
      <c r="J20" t="s">
        <v>183</v>
      </c>
      <c r="K20">
        <v>188594.6</v>
      </c>
      <c r="L20">
        <v>140002.1</v>
      </c>
      <c r="M20">
        <v>48592.5</v>
      </c>
      <c r="N20" t="str">
        <f t="shared" si="0"/>
        <v>Feb</v>
      </c>
      <c r="O20">
        <f t="shared" si="1"/>
        <v>2</v>
      </c>
      <c r="P20" s="4">
        <f t="shared" si="2"/>
        <v>0.25765583956274463</v>
      </c>
    </row>
    <row r="21" spans="1:16" x14ac:dyDescent="0.35">
      <c r="A21" t="s">
        <v>32</v>
      </c>
      <c r="B21" s="2">
        <v>46066.2911392405</v>
      </c>
      <c r="C21" t="s">
        <v>111</v>
      </c>
      <c r="D21" t="s">
        <v>171</v>
      </c>
      <c r="E21" t="s">
        <v>176</v>
      </c>
      <c r="F21" t="s">
        <v>179</v>
      </c>
      <c r="G21">
        <v>2</v>
      </c>
      <c r="H21">
        <v>13837</v>
      </c>
      <c r="I21">
        <v>5</v>
      </c>
      <c r="J21" t="s">
        <v>185</v>
      </c>
      <c r="K21">
        <v>26290.3</v>
      </c>
      <c r="L21">
        <v>18506.27</v>
      </c>
      <c r="M21">
        <v>7784.03</v>
      </c>
      <c r="N21" t="str">
        <f t="shared" si="0"/>
        <v>Feb</v>
      </c>
      <c r="O21">
        <f t="shared" si="1"/>
        <v>2</v>
      </c>
      <c r="P21" s="4">
        <f t="shared" si="2"/>
        <v>0.29607992301343083</v>
      </c>
    </row>
    <row r="22" spans="1:16" x14ac:dyDescent="0.35">
      <c r="A22" t="s">
        <v>33</v>
      </c>
      <c r="B22" s="2">
        <v>46068.569620253162</v>
      </c>
      <c r="C22" t="s">
        <v>112</v>
      </c>
      <c r="D22" t="s">
        <v>174</v>
      </c>
      <c r="E22" t="s">
        <v>177</v>
      </c>
      <c r="F22" t="s">
        <v>179</v>
      </c>
      <c r="G22">
        <v>3</v>
      </c>
      <c r="H22">
        <v>1229</v>
      </c>
      <c r="I22">
        <v>15</v>
      </c>
      <c r="J22" t="s">
        <v>184</v>
      </c>
      <c r="K22">
        <v>3133.95</v>
      </c>
      <c r="L22">
        <v>2098.3200000000002</v>
      </c>
      <c r="M22">
        <v>1035.6300000000001</v>
      </c>
      <c r="N22" t="str">
        <f t="shared" si="0"/>
        <v>Feb</v>
      </c>
      <c r="O22">
        <f t="shared" si="1"/>
        <v>2</v>
      </c>
      <c r="P22" s="4">
        <f t="shared" si="2"/>
        <v>0.33045517637486244</v>
      </c>
    </row>
    <row r="23" spans="1:16" x14ac:dyDescent="0.35">
      <c r="A23" t="s">
        <v>34</v>
      </c>
      <c r="B23" s="2">
        <v>46070.848101265823</v>
      </c>
      <c r="C23" t="s">
        <v>113</v>
      </c>
      <c r="D23" t="s">
        <v>172</v>
      </c>
      <c r="E23" t="s">
        <v>177</v>
      </c>
      <c r="F23" t="s">
        <v>178</v>
      </c>
      <c r="G23">
        <v>1</v>
      </c>
      <c r="H23">
        <v>3164</v>
      </c>
      <c r="I23">
        <v>5</v>
      </c>
      <c r="J23" t="s">
        <v>184</v>
      </c>
      <c r="K23">
        <v>3005.8</v>
      </c>
      <c r="L23">
        <v>2077.59</v>
      </c>
      <c r="M23">
        <v>928.21</v>
      </c>
      <c r="N23" t="str">
        <f t="shared" si="0"/>
        <v>Feb</v>
      </c>
      <c r="O23">
        <f t="shared" si="1"/>
        <v>2</v>
      </c>
      <c r="P23" s="4">
        <f t="shared" si="2"/>
        <v>0.30880630780491047</v>
      </c>
    </row>
    <row r="24" spans="1:16" x14ac:dyDescent="0.35">
      <c r="A24" t="s">
        <v>35</v>
      </c>
      <c r="B24" s="2">
        <v>46073.12658227847</v>
      </c>
      <c r="C24" t="s">
        <v>114</v>
      </c>
      <c r="D24" t="s">
        <v>174</v>
      </c>
      <c r="E24" t="s">
        <v>176</v>
      </c>
      <c r="F24" t="s">
        <v>179</v>
      </c>
      <c r="G24">
        <v>1</v>
      </c>
      <c r="H24">
        <v>14362</v>
      </c>
      <c r="I24">
        <v>15</v>
      </c>
      <c r="J24" t="s">
        <v>184</v>
      </c>
      <c r="K24">
        <v>12207.7</v>
      </c>
      <c r="L24">
        <v>9419.09</v>
      </c>
      <c r="M24">
        <v>2788.61</v>
      </c>
      <c r="N24" t="str">
        <f t="shared" si="0"/>
        <v>Feb</v>
      </c>
      <c r="O24">
        <f t="shared" si="1"/>
        <v>2</v>
      </c>
      <c r="P24" s="4">
        <f t="shared" si="2"/>
        <v>0.2284304168680423</v>
      </c>
    </row>
    <row r="25" spans="1:16" x14ac:dyDescent="0.35">
      <c r="A25" t="s">
        <v>36</v>
      </c>
      <c r="B25" s="2">
        <v>46075.405063291131</v>
      </c>
      <c r="C25" t="s">
        <v>115</v>
      </c>
      <c r="D25" t="s">
        <v>175</v>
      </c>
      <c r="E25" t="s">
        <v>176</v>
      </c>
      <c r="F25" t="s">
        <v>178</v>
      </c>
      <c r="G25">
        <v>4</v>
      </c>
      <c r="H25">
        <v>55237</v>
      </c>
      <c r="I25">
        <v>10</v>
      </c>
      <c r="J25" t="s">
        <v>184</v>
      </c>
      <c r="K25">
        <v>198853.2</v>
      </c>
      <c r="L25">
        <v>123861.42</v>
      </c>
      <c r="M25">
        <v>74991.78</v>
      </c>
      <c r="N25" t="str">
        <f t="shared" si="0"/>
        <v>Feb</v>
      </c>
      <c r="O25">
        <f t="shared" si="1"/>
        <v>2</v>
      </c>
      <c r="P25" s="4">
        <f t="shared" si="2"/>
        <v>0.37712131361225265</v>
      </c>
    </row>
    <row r="26" spans="1:16" x14ac:dyDescent="0.35">
      <c r="A26" t="s">
        <v>37</v>
      </c>
      <c r="B26" s="2">
        <v>46077.6835443038</v>
      </c>
      <c r="C26" t="s">
        <v>116</v>
      </c>
      <c r="D26" t="s">
        <v>175</v>
      </c>
      <c r="E26" t="s">
        <v>176</v>
      </c>
      <c r="F26" t="s">
        <v>181</v>
      </c>
      <c r="G26">
        <v>3</v>
      </c>
      <c r="H26">
        <v>55082</v>
      </c>
      <c r="I26">
        <v>10</v>
      </c>
      <c r="J26" t="s">
        <v>184</v>
      </c>
      <c r="K26">
        <v>148721.4</v>
      </c>
      <c r="L26">
        <v>95659.77</v>
      </c>
      <c r="M26">
        <v>53061.63</v>
      </c>
      <c r="N26" t="str">
        <f t="shared" si="0"/>
        <v>Feb</v>
      </c>
      <c r="O26">
        <f t="shared" si="1"/>
        <v>2</v>
      </c>
      <c r="P26" s="4">
        <f t="shared" si="2"/>
        <v>0.3567854390827413</v>
      </c>
    </row>
    <row r="27" spans="1:16" x14ac:dyDescent="0.35">
      <c r="A27" t="s">
        <v>38</v>
      </c>
      <c r="B27" s="2">
        <v>46079.962025316447</v>
      </c>
      <c r="C27" t="s">
        <v>117</v>
      </c>
      <c r="D27" t="s">
        <v>173</v>
      </c>
      <c r="E27" t="s">
        <v>177</v>
      </c>
      <c r="F27" t="s">
        <v>179</v>
      </c>
      <c r="G27">
        <v>5</v>
      </c>
      <c r="H27">
        <v>2026</v>
      </c>
      <c r="I27">
        <v>10</v>
      </c>
      <c r="J27" t="s">
        <v>185</v>
      </c>
      <c r="K27">
        <v>9117</v>
      </c>
      <c r="L27">
        <v>5736.42</v>
      </c>
      <c r="M27">
        <v>3380.58</v>
      </c>
      <c r="N27" t="str">
        <f t="shared" si="0"/>
        <v>Feb</v>
      </c>
      <c r="O27">
        <f t="shared" si="1"/>
        <v>2</v>
      </c>
      <c r="P27" s="4">
        <f t="shared" si="2"/>
        <v>0.37079960513326754</v>
      </c>
    </row>
    <row r="28" spans="1:16" x14ac:dyDescent="0.35">
      <c r="A28" t="s">
        <v>39</v>
      </c>
      <c r="B28" s="2">
        <v>46082.240506329108</v>
      </c>
      <c r="C28" t="s">
        <v>118</v>
      </c>
      <c r="D28" t="s">
        <v>173</v>
      </c>
      <c r="E28" t="s">
        <v>177</v>
      </c>
      <c r="F28" t="s">
        <v>181</v>
      </c>
      <c r="G28">
        <v>3</v>
      </c>
      <c r="H28">
        <v>2225</v>
      </c>
      <c r="I28">
        <v>15</v>
      </c>
      <c r="J28" t="s">
        <v>185</v>
      </c>
      <c r="K28">
        <v>5673.75</v>
      </c>
      <c r="L28">
        <v>3563.94</v>
      </c>
      <c r="M28">
        <v>2109.81</v>
      </c>
      <c r="N28" t="str">
        <f t="shared" si="0"/>
        <v>Mar</v>
      </c>
      <c r="O28">
        <f t="shared" si="1"/>
        <v>3</v>
      </c>
      <c r="P28" s="4">
        <f t="shared" si="2"/>
        <v>0.37185459352280237</v>
      </c>
    </row>
    <row r="29" spans="1:16" x14ac:dyDescent="0.35">
      <c r="A29" t="s">
        <v>40</v>
      </c>
      <c r="B29" s="2">
        <v>46084.518987341769</v>
      </c>
      <c r="C29" t="s">
        <v>119</v>
      </c>
      <c r="D29" t="s">
        <v>174</v>
      </c>
      <c r="E29" t="s">
        <v>177</v>
      </c>
      <c r="F29" t="s">
        <v>178</v>
      </c>
      <c r="G29">
        <v>4</v>
      </c>
      <c r="H29">
        <v>1276</v>
      </c>
      <c r="I29">
        <v>5</v>
      </c>
      <c r="J29" t="s">
        <v>182</v>
      </c>
      <c r="K29">
        <v>4848.8</v>
      </c>
      <c r="L29">
        <v>3835.85</v>
      </c>
      <c r="M29">
        <v>1012.95</v>
      </c>
      <c r="N29" t="str">
        <f t="shared" si="0"/>
        <v>Mar</v>
      </c>
      <c r="O29">
        <f t="shared" si="1"/>
        <v>3</v>
      </c>
      <c r="P29" s="4">
        <f t="shared" si="2"/>
        <v>0.20890735852169609</v>
      </c>
    </row>
    <row r="30" spans="1:16" x14ac:dyDescent="0.35">
      <c r="A30" t="s">
        <v>41</v>
      </c>
      <c r="B30" s="2">
        <v>46086.797468354423</v>
      </c>
      <c r="C30" t="s">
        <v>120</v>
      </c>
      <c r="D30" t="s">
        <v>171</v>
      </c>
      <c r="E30" t="s">
        <v>176</v>
      </c>
      <c r="F30" t="s">
        <v>180</v>
      </c>
      <c r="G30">
        <v>4</v>
      </c>
      <c r="H30">
        <v>14408</v>
      </c>
      <c r="I30">
        <v>5</v>
      </c>
      <c r="J30" t="s">
        <v>184</v>
      </c>
      <c r="K30">
        <v>54750.400000000001</v>
      </c>
      <c r="L30">
        <v>41650.36</v>
      </c>
      <c r="M30">
        <v>13100.04</v>
      </c>
      <c r="N30" t="str">
        <f t="shared" si="0"/>
        <v>Mar</v>
      </c>
      <c r="O30">
        <f t="shared" si="1"/>
        <v>3</v>
      </c>
      <c r="P30" s="4">
        <f t="shared" si="2"/>
        <v>0.23926838890674773</v>
      </c>
    </row>
    <row r="31" spans="1:16" x14ac:dyDescent="0.35">
      <c r="A31" t="s">
        <v>42</v>
      </c>
      <c r="B31" s="2">
        <v>46089.075949367078</v>
      </c>
      <c r="C31" t="s">
        <v>121</v>
      </c>
      <c r="D31" t="s">
        <v>171</v>
      </c>
      <c r="E31" t="s">
        <v>176</v>
      </c>
      <c r="F31" t="s">
        <v>179</v>
      </c>
      <c r="G31">
        <v>3</v>
      </c>
      <c r="H31">
        <v>14083</v>
      </c>
      <c r="I31">
        <v>15</v>
      </c>
      <c r="J31" t="s">
        <v>185</v>
      </c>
      <c r="K31">
        <v>35911.65</v>
      </c>
      <c r="L31">
        <v>25670.9</v>
      </c>
      <c r="M31">
        <v>10240.75</v>
      </c>
      <c r="N31" t="str">
        <f t="shared" si="0"/>
        <v>Mar</v>
      </c>
      <c r="O31">
        <f t="shared" si="1"/>
        <v>3</v>
      </c>
      <c r="P31" s="4">
        <f t="shared" si="2"/>
        <v>0.28516512051103193</v>
      </c>
    </row>
    <row r="32" spans="1:16" x14ac:dyDescent="0.35">
      <c r="A32" t="s">
        <v>43</v>
      </c>
      <c r="B32" s="2">
        <v>46091.354430379753</v>
      </c>
      <c r="C32" t="s">
        <v>122</v>
      </c>
      <c r="D32" t="s">
        <v>173</v>
      </c>
      <c r="E32" t="s">
        <v>177</v>
      </c>
      <c r="F32" t="s">
        <v>178</v>
      </c>
      <c r="G32">
        <v>4</v>
      </c>
      <c r="H32">
        <v>2480</v>
      </c>
      <c r="I32">
        <v>10</v>
      </c>
      <c r="J32" t="s">
        <v>182</v>
      </c>
      <c r="K32">
        <v>8928</v>
      </c>
      <c r="L32">
        <v>5710.05</v>
      </c>
      <c r="M32">
        <v>3217.95</v>
      </c>
      <c r="N32" t="str">
        <f t="shared" si="0"/>
        <v>Mar</v>
      </c>
      <c r="O32">
        <f t="shared" si="1"/>
        <v>3</v>
      </c>
      <c r="P32" s="4">
        <f t="shared" si="2"/>
        <v>0.36043346774193546</v>
      </c>
    </row>
    <row r="33" spans="1:16" x14ac:dyDescent="0.35">
      <c r="A33" t="s">
        <v>44</v>
      </c>
      <c r="B33" s="2">
        <v>46093.632911392393</v>
      </c>
      <c r="C33" t="s">
        <v>123</v>
      </c>
      <c r="D33" t="s">
        <v>171</v>
      </c>
      <c r="E33" t="s">
        <v>176</v>
      </c>
      <c r="F33" t="s">
        <v>180</v>
      </c>
      <c r="G33">
        <v>3</v>
      </c>
      <c r="H33">
        <v>14252</v>
      </c>
      <c r="I33">
        <v>0</v>
      </c>
      <c r="J33" t="s">
        <v>184</v>
      </c>
      <c r="K33">
        <v>38480.400000000001</v>
      </c>
      <c r="L33">
        <v>27641.360000000001</v>
      </c>
      <c r="M33">
        <v>10839.04</v>
      </c>
      <c r="N33" t="str">
        <f t="shared" si="0"/>
        <v>Mar</v>
      </c>
      <c r="O33">
        <f t="shared" si="1"/>
        <v>3</v>
      </c>
      <c r="P33" s="4">
        <f t="shared" si="2"/>
        <v>0.28167690564547149</v>
      </c>
    </row>
    <row r="34" spans="1:16" x14ac:dyDescent="0.35">
      <c r="A34" t="s">
        <v>45</v>
      </c>
      <c r="B34" s="2">
        <v>46095.911392405047</v>
      </c>
      <c r="C34" t="s">
        <v>124</v>
      </c>
      <c r="D34" t="s">
        <v>171</v>
      </c>
      <c r="E34" t="s">
        <v>176</v>
      </c>
      <c r="F34" t="s">
        <v>180</v>
      </c>
      <c r="G34">
        <v>2</v>
      </c>
      <c r="H34">
        <v>14458</v>
      </c>
      <c r="I34">
        <v>5</v>
      </c>
      <c r="J34" t="s">
        <v>183</v>
      </c>
      <c r="K34">
        <v>27470.2</v>
      </c>
      <c r="L34">
        <v>19632.8</v>
      </c>
      <c r="M34">
        <v>7837.4</v>
      </c>
      <c r="N34" t="str">
        <f t="shared" ref="N34:N65" si="3">TEXT(B34,"mmm")</f>
        <v>Mar</v>
      </c>
      <c r="O34">
        <f t="shared" ref="O34:O65" si="4">MONTH(B34)</f>
        <v>3</v>
      </c>
      <c r="P34" s="4">
        <f t="shared" si="2"/>
        <v>0.28530553108459344</v>
      </c>
    </row>
    <row r="35" spans="1:16" x14ac:dyDescent="0.35">
      <c r="A35" t="s">
        <v>46</v>
      </c>
      <c r="B35" s="2">
        <v>46098.189873417723</v>
      </c>
      <c r="C35" t="s">
        <v>125</v>
      </c>
      <c r="D35" t="s">
        <v>175</v>
      </c>
      <c r="E35" t="s">
        <v>176</v>
      </c>
      <c r="F35" t="s">
        <v>181</v>
      </c>
      <c r="G35">
        <v>3</v>
      </c>
      <c r="H35">
        <v>55315</v>
      </c>
      <c r="I35">
        <v>10</v>
      </c>
      <c r="J35" t="s">
        <v>182</v>
      </c>
      <c r="K35">
        <v>149350.5</v>
      </c>
      <c r="L35">
        <v>97770.87</v>
      </c>
      <c r="M35">
        <v>51579.63</v>
      </c>
      <c r="N35" t="str">
        <f t="shared" si="3"/>
        <v>Mar</v>
      </c>
      <c r="O35">
        <f t="shared" si="4"/>
        <v>3</v>
      </c>
      <c r="P35" s="4">
        <f t="shared" si="2"/>
        <v>0.34535960709873753</v>
      </c>
    </row>
    <row r="36" spans="1:16" x14ac:dyDescent="0.35">
      <c r="A36" t="s">
        <v>47</v>
      </c>
      <c r="B36" s="2">
        <v>46100.46835443037</v>
      </c>
      <c r="C36" t="s">
        <v>126</v>
      </c>
      <c r="D36" t="s">
        <v>173</v>
      </c>
      <c r="E36" t="s">
        <v>177</v>
      </c>
      <c r="F36" t="s">
        <v>178</v>
      </c>
      <c r="G36">
        <v>3</v>
      </c>
      <c r="H36">
        <v>2546</v>
      </c>
      <c r="I36">
        <v>0</v>
      </c>
      <c r="J36" t="s">
        <v>185</v>
      </c>
      <c r="K36">
        <v>7638</v>
      </c>
      <c r="L36">
        <v>5398.31</v>
      </c>
      <c r="M36">
        <v>2239.69</v>
      </c>
      <c r="N36" t="str">
        <f t="shared" si="3"/>
        <v>Mar</v>
      </c>
      <c r="O36">
        <f t="shared" si="4"/>
        <v>3</v>
      </c>
      <c r="P36" s="4">
        <f t="shared" si="2"/>
        <v>0.29322990311599895</v>
      </c>
    </row>
    <row r="37" spans="1:16" x14ac:dyDescent="0.35">
      <c r="A37" t="s">
        <v>48</v>
      </c>
      <c r="B37" s="2">
        <v>46102.746835443031</v>
      </c>
      <c r="C37" t="s">
        <v>127</v>
      </c>
      <c r="D37" t="s">
        <v>172</v>
      </c>
      <c r="E37" t="s">
        <v>177</v>
      </c>
      <c r="F37" t="s">
        <v>180</v>
      </c>
      <c r="G37">
        <v>4</v>
      </c>
      <c r="H37">
        <v>2991</v>
      </c>
      <c r="I37">
        <v>5</v>
      </c>
      <c r="J37" t="s">
        <v>183</v>
      </c>
      <c r="K37">
        <v>11365.8</v>
      </c>
      <c r="L37">
        <v>7952.66</v>
      </c>
      <c r="M37">
        <v>3413.14</v>
      </c>
      <c r="N37" t="str">
        <f t="shared" si="3"/>
        <v>Mar</v>
      </c>
      <c r="O37">
        <f t="shared" si="4"/>
        <v>3</v>
      </c>
      <c r="P37" s="4">
        <f t="shared" si="2"/>
        <v>0.30029914304316457</v>
      </c>
    </row>
    <row r="38" spans="1:16" x14ac:dyDescent="0.35">
      <c r="A38" t="s">
        <v>49</v>
      </c>
      <c r="B38" s="2">
        <v>46105.025316455693</v>
      </c>
      <c r="C38" t="s">
        <v>128</v>
      </c>
      <c r="D38" t="s">
        <v>173</v>
      </c>
      <c r="E38" t="s">
        <v>177</v>
      </c>
      <c r="F38" t="s">
        <v>179</v>
      </c>
      <c r="G38">
        <v>4</v>
      </c>
      <c r="H38">
        <v>2048</v>
      </c>
      <c r="I38">
        <v>10</v>
      </c>
      <c r="J38" t="s">
        <v>183</v>
      </c>
      <c r="K38">
        <v>7372.8</v>
      </c>
      <c r="L38">
        <v>5479.24</v>
      </c>
      <c r="M38">
        <v>1893.56</v>
      </c>
      <c r="N38" t="str">
        <f t="shared" si="3"/>
        <v>Mar</v>
      </c>
      <c r="O38">
        <f t="shared" si="4"/>
        <v>3</v>
      </c>
      <c r="P38" s="4">
        <f t="shared" si="2"/>
        <v>0.25683051215277775</v>
      </c>
    </row>
    <row r="39" spans="1:16" x14ac:dyDescent="0.35">
      <c r="A39" t="s">
        <v>50</v>
      </c>
      <c r="B39" s="2">
        <v>46107.303797468347</v>
      </c>
      <c r="C39" t="s">
        <v>129</v>
      </c>
      <c r="D39" t="s">
        <v>172</v>
      </c>
      <c r="E39" t="s">
        <v>177</v>
      </c>
      <c r="F39" t="s">
        <v>179</v>
      </c>
      <c r="G39">
        <v>1</v>
      </c>
      <c r="H39">
        <v>3311</v>
      </c>
      <c r="I39">
        <v>5</v>
      </c>
      <c r="J39" t="s">
        <v>183</v>
      </c>
      <c r="K39">
        <v>3145.45</v>
      </c>
      <c r="L39">
        <v>2349.71</v>
      </c>
      <c r="M39">
        <v>795.74</v>
      </c>
      <c r="N39" t="str">
        <f t="shared" si="3"/>
        <v>Mar</v>
      </c>
      <c r="O39">
        <f t="shared" si="4"/>
        <v>3</v>
      </c>
      <c r="P39" s="4">
        <f t="shared" si="2"/>
        <v>0.2529812904353908</v>
      </c>
    </row>
    <row r="40" spans="1:16" x14ac:dyDescent="0.35">
      <c r="A40" t="s">
        <v>51</v>
      </c>
      <c r="B40" s="2">
        <v>46109.582278481008</v>
      </c>
      <c r="C40" t="s">
        <v>130</v>
      </c>
      <c r="D40" t="s">
        <v>175</v>
      </c>
      <c r="E40" t="s">
        <v>176</v>
      </c>
      <c r="F40" t="s">
        <v>181</v>
      </c>
      <c r="G40">
        <v>1</v>
      </c>
      <c r="H40">
        <v>54816</v>
      </c>
      <c r="I40">
        <v>0</v>
      </c>
      <c r="J40" t="s">
        <v>182</v>
      </c>
      <c r="K40">
        <v>54816</v>
      </c>
      <c r="L40">
        <v>34482.6</v>
      </c>
      <c r="M40">
        <v>20333.400000000001</v>
      </c>
      <c r="N40" t="str">
        <f t="shared" si="3"/>
        <v>Mar</v>
      </c>
      <c r="O40">
        <f t="shared" si="4"/>
        <v>3</v>
      </c>
      <c r="P40" s="4">
        <f t="shared" si="2"/>
        <v>0.37093914185639232</v>
      </c>
    </row>
    <row r="41" spans="1:16" x14ac:dyDescent="0.35">
      <c r="A41" t="s">
        <v>52</v>
      </c>
      <c r="B41" s="2">
        <v>46111.860759493669</v>
      </c>
      <c r="C41" t="s">
        <v>131</v>
      </c>
      <c r="D41" t="s">
        <v>174</v>
      </c>
      <c r="E41" t="s">
        <v>177</v>
      </c>
      <c r="F41" t="s">
        <v>180</v>
      </c>
      <c r="G41">
        <v>2</v>
      </c>
      <c r="H41">
        <v>1171</v>
      </c>
      <c r="I41">
        <v>5</v>
      </c>
      <c r="J41" t="s">
        <v>185</v>
      </c>
      <c r="K41">
        <v>2224.9</v>
      </c>
      <c r="L41">
        <v>1546.13</v>
      </c>
      <c r="M41">
        <v>678.77</v>
      </c>
      <c r="N41" t="str">
        <f t="shared" si="3"/>
        <v>Mar</v>
      </c>
      <c r="O41">
        <f t="shared" si="4"/>
        <v>3</v>
      </c>
      <c r="P41" s="4">
        <f t="shared" si="2"/>
        <v>0.30507887994966065</v>
      </c>
    </row>
    <row r="42" spans="1:16" x14ac:dyDescent="0.35">
      <c r="A42" t="s">
        <v>53</v>
      </c>
      <c r="B42" s="2">
        <v>46114.139240506323</v>
      </c>
      <c r="C42" t="s">
        <v>132</v>
      </c>
      <c r="D42" t="s">
        <v>171</v>
      </c>
      <c r="E42" t="s">
        <v>176</v>
      </c>
      <c r="F42" t="s">
        <v>178</v>
      </c>
      <c r="G42">
        <v>1</v>
      </c>
      <c r="H42">
        <v>14019</v>
      </c>
      <c r="I42">
        <v>5</v>
      </c>
      <c r="J42" t="s">
        <v>183</v>
      </c>
      <c r="K42">
        <v>13318.05</v>
      </c>
      <c r="L42">
        <v>9924.24</v>
      </c>
      <c r="M42">
        <v>3393.81</v>
      </c>
      <c r="N42" t="str">
        <f t="shared" si="3"/>
        <v>Apr</v>
      </c>
      <c r="O42">
        <f t="shared" si="4"/>
        <v>4</v>
      </c>
      <c r="P42" s="4">
        <f t="shared" si="2"/>
        <v>0.25482784641895773</v>
      </c>
    </row>
    <row r="43" spans="1:16" x14ac:dyDescent="0.35">
      <c r="A43" t="s">
        <v>54</v>
      </c>
      <c r="B43" s="2">
        <v>46116.417721518977</v>
      </c>
      <c r="C43" t="s">
        <v>133</v>
      </c>
      <c r="D43" t="s">
        <v>175</v>
      </c>
      <c r="E43" t="s">
        <v>176</v>
      </c>
      <c r="F43" t="s">
        <v>179</v>
      </c>
      <c r="G43">
        <v>3</v>
      </c>
      <c r="H43">
        <v>54957</v>
      </c>
      <c r="I43">
        <v>5</v>
      </c>
      <c r="J43" t="s">
        <v>184</v>
      </c>
      <c r="K43">
        <v>156627.45000000001</v>
      </c>
      <c r="L43">
        <v>112870.01</v>
      </c>
      <c r="M43">
        <v>43757.440000000002</v>
      </c>
      <c r="N43" t="str">
        <f t="shared" si="3"/>
        <v>Apr</v>
      </c>
      <c r="O43">
        <f t="shared" si="4"/>
        <v>4</v>
      </c>
      <c r="P43" s="4">
        <f t="shared" si="2"/>
        <v>0.27937274085736569</v>
      </c>
    </row>
    <row r="44" spans="1:16" x14ac:dyDescent="0.35">
      <c r="A44" t="s">
        <v>55</v>
      </c>
      <c r="B44" s="2">
        <v>46118.696202531653</v>
      </c>
      <c r="C44" t="s">
        <v>134</v>
      </c>
      <c r="D44" t="s">
        <v>171</v>
      </c>
      <c r="E44" t="s">
        <v>176</v>
      </c>
      <c r="F44" t="s">
        <v>180</v>
      </c>
      <c r="G44">
        <v>4</v>
      </c>
      <c r="H44">
        <v>14276</v>
      </c>
      <c r="I44">
        <v>5</v>
      </c>
      <c r="J44" t="s">
        <v>183</v>
      </c>
      <c r="K44">
        <v>54248.800000000003</v>
      </c>
      <c r="L44">
        <v>42926.97</v>
      </c>
      <c r="M44">
        <v>11321.83</v>
      </c>
      <c r="N44" t="str">
        <f t="shared" si="3"/>
        <v>Apr</v>
      </c>
      <c r="O44">
        <f t="shared" si="4"/>
        <v>4</v>
      </c>
      <c r="P44" s="4">
        <f t="shared" si="2"/>
        <v>0.20870194363746294</v>
      </c>
    </row>
    <row r="45" spans="1:16" x14ac:dyDescent="0.35">
      <c r="A45" t="s">
        <v>56</v>
      </c>
      <c r="B45" s="2">
        <v>46120.974683544293</v>
      </c>
      <c r="C45" t="s">
        <v>135</v>
      </c>
      <c r="D45" t="s">
        <v>174</v>
      </c>
      <c r="E45" t="s">
        <v>177</v>
      </c>
      <c r="F45" t="s">
        <v>180</v>
      </c>
      <c r="G45">
        <v>1</v>
      </c>
      <c r="H45">
        <v>1045</v>
      </c>
      <c r="I45">
        <v>0</v>
      </c>
      <c r="J45" t="s">
        <v>183</v>
      </c>
      <c r="K45">
        <v>1045</v>
      </c>
      <c r="L45">
        <v>785.57</v>
      </c>
      <c r="M45">
        <v>259.43</v>
      </c>
      <c r="N45" t="str">
        <f t="shared" si="3"/>
        <v>Apr</v>
      </c>
      <c r="O45">
        <f t="shared" si="4"/>
        <v>4</v>
      </c>
      <c r="P45" s="4">
        <f t="shared" si="2"/>
        <v>0.24825837320574162</v>
      </c>
    </row>
    <row r="46" spans="1:16" x14ac:dyDescent="0.35">
      <c r="A46" t="s">
        <v>57</v>
      </c>
      <c r="B46" s="2">
        <v>46123.253164556947</v>
      </c>
      <c r="C46" t="s">
        <v>136</v>
      </c>
      <c r="D46" t="s">
        <v>174</v>
      </c>
      <c r="E46" t="s">
        <v>177</v>
      </c>
      <c r="F46" t="s">
        <v>187</v>
      </c>
      <c r="G46">
        <v>1</v>
      </c>
      <c r="H46">
        <v>1372</v>
      </c>
      <c r="I46">
        <v>15</v>
      </c>
      <c r="J46" t="s">
        <v>182</v>
      </c>
      <c r="K46">
        <v>1166.2</v>
      </c>
      <c r="L46">
        <v>761.05</v>
      </c>
      <c r="M46">
        <v>405.15</v>
      </c>
      <c r="N46" t="str">
        <f t="shared" si="3"/>
        <v>Apr</v>
      </c>
      <c r="O46">
        <f t="shared" si="4"/>
        <v>4</v>
      </c>
      <c r="P46" s="4">
        <f t="shared" si="2"/>
        <v>0.34741039272851992</v>
      </c>
    </row>
    <row r="47" spans="1:16" x14ac:dyDescent="0.35">
      <c r="A47" t="s">
        <v>58</v>
      </c>
      <c r="B47" s="2">
        <v>46125.531645569623</v>
      </c>
      <c r="C47" t="s">
        <v>137</v>
      </c>
      <c r="D47" t="s">
        <v>175</v>
      </c>
      <c r="E47" t="s">
        <v>176</v>
      </c>
      <c r="F47" t="s">
        <v>179</v>
      </c>
      <c r="G47">
        <v>2</v>
      </c>
      <c r="H47">
        <v>55317</v>
      </c>
      <c r="I47">
        <v>5</v>
      </c>
      <c r="J47" t="s">
        <v>182</v>
      </c>
      <c r="K47">
        <v>105102.3</v>
      </c>
      <c r="L47">
        <v>66646.81</v>
      </c>
      <c r="M47">
        <v>38455.49</v>
      </c>
      <c r="N47" t="str">
        <f t="shared" si="3"/>
        <v>Apr</v>
      </c>
      <c r="O47">
        <f t="shared" si="4"/>
        <v>4</v>
      </c>
      <c r="P47" s="4">
        <f t="shared" si="2"/>
        <v>0.36588628412508573</v>
      </c>
    </row>
    <row r="48" spans="1:16" x14ac:dyDescent="0.35">
      <c r="A48" t="s">
        <v>59</v>
      </c>
      <c r="B48" s="2">
        <v>46127.81012658227</v>
      </c>
      <c r="C48" t="s">
        <v>138</v>
      </c>
      <c r="D48" t="s">
        <v>174</v>
      </c>
      <c r="E48" t="s">
        <v>177</v>
      </c>
      <c r="F48" t="s">
        <v>179</v>
      </c>
      <c r="G48">
        <v>2</v>
      </c>
      <c r="H48">
        <v>1098</v>
      </c>
      <c r="I48">
        <v>5</v>
      </c>
      <c r="J48" t="s">
        <v>185</v>
      </c>
      <c r="K48">
        <v>2086.1999999999998</v>
      </c>
      <c r="L48">
        <v>1561.49</v>
      </c>
      <c r="M48">
        <v>524.71</v>
      </c>
      <c r="N48" t="str">
        <f t="shared" si="3"/>
        <v>Apr</v>
      </c>
      <c r="O48">
        <f t="shared" si="4"/>
        <v>4</v>
      </c>
      <c r="P48" s="4">
        <f t="shared" si="2"/>
        <v>0.25151471575112649</v>
      </c>
    </row>
    <row r="49" spans="1:16" x14ac:dyDescent="0.35">
      <c r="A49" t="s">
        <v>60</v>
      </c>
      <c r="B49" s="2">
        <v>46130.088607594931</v>
      </c>
      <c r="C49" t="s">
        <v>139</v>
      </c>
      <c r="D49" t="s">
        <v>172</v>
      </c>
      <c r="E49" t="s">
        <v>177</v>
      </c>
      <c r="F49" t="s">
        <v>178</v>
      </c>
      <c r="G49">
        <v>3</v>
      </c>
      <c r="H49">
        <v>2836</v>
      </c>
      <c r="I49">
        <v>10</v>
      </c>
      <c r="J49" t="s">
        <v>184</v>
      </c>
      <c r="K49">
        <v>7657.2</v>
      </c>
      <c r="L49">
        <v>4788.0600000000004</v>
      </c>
      <c r="M49">
        <v>2869.14</v>
      </c>
      <c r="N49" t="str">
        <f t="shared" si="3"/>
        <v>Apr</v>
      </c>
      <c r="O49">
        <f t="shared" si="4"/>
        <v>4</v>
      </c>
      <c r="P49" s="4">
        <f t="shared" si="2"/>
        <v>0.3746983231468422</v>
      </c>
    </row>
    <row r="50" spans="1:16" x14ac:dyDescent="0.35">
      <c r="A50" t="s">
        <v>61</v>
      </c>
      <c r="B50" s="2">
        <v>46132.367088607592</v>
      </c>
      <c r="C50" t="s">
        <v>140</v>
      </c>
      <c r="D50" t="s">
        <v>174</v>
      </c>
      <c r="E50" t="s">
        <v>177</v>
      </c>
      <c r="F50" t="s">
        <v>179</v>
      </c>
      <c r="G50">
        <v>4</v>
      </c>
      <c r="H50">
        <v>1279</v>
      </c>
      <c r="I50">
        <v>5</v>
      </c>
      <c r="J50" t="s">
        <v>182</v>
      </c>
      <c r="K50">
        <v>4860.2</v>
      </c>
      <c r="L50">
        <v>3582.72</v>
      </c>
      <c r="M50">
        <v>1277.48</v>
      </c>
      <c r="N50" t="str">
        <f t="shared" si="3"/>
        <v>Apr</v>
      </c>
      <c r="O50">
        <f t="shared" si="4"/>
        <v>4</v>
      </c>
      <c r="P50" s="4">
        <f t="shared" si="2"/>
        <v>0.26284515040533313</v>
      </c>
    </row>
    <row r="51" spans="1:16" x14ac:dyDescent="0.35">
      <c r="A51" t="s">
        <v>62</v>
      </c>
      <c r="B51" s="2">
        <v>46134.645569620247</v>
      </c>
      <c r="C51" t="s">
        <v>141</v>
      </c>
      <c r="D51" t="s">
        <v>171</v>
      </c>
      <c r="E51" t="s">
        <v>176</v>
      </c>
      <c r="F51" t="s">
        <v>178</v>
      </c>
      <c r="G51">
        <v>2</v>
      </c>
      <c r="H51">
        <v>14148</v>
      </c>
      <c r="I51">
        <v>10</v>
      </c>
      <c r="J51" t="s">
        <v>183</v>
      </c>
      <c r="K51">
        <v>25466.400000000001</v>
      </c>
      <c r="L51">
        <v>20578.02</v>
      </c>
      <c r="M51">
        <v>4888.38</v>
      </c>
      <c r="N51" t="str">
        <f t="shared" si="3"/>
        <v>Apr</v>
      </c>
      <c r="O51">
        <f t="shared" si="4"/>
        <v>4</v>
      </c>
      <c r="P51" s="4">
        <f t="shared" si="2"/>
        <v>0.19195410423145792</v>
      </c>
    </row>
    <row r="52" spans="1:16" x14ac:dyDescent="0.35">
      <c r="A52" t="s">
        <v>63</v>
      </c>
      <c r="B52" s="2">
        <v>46136.924050632908</v>
      </c>
      <c r="C52" t="s">
        <v>142</v>
      </c>
      <c r="D52" t="s">
        <v>171</v>
      </c>
      <c r="E52" t="s">
        <v>176</v>
      </c>
      <c r="F52" t="s">
        <v>179</v>
      </c>
      <c r="G52">
        <v>1</v>
      </c>
      <c r="H52">
        <v>14296</v>
      </c>
      <c r="I52">
        <v>15</v>
      </c>
      <c r="J52" t="s">
        <v>185</v>
      </c>
      <c r="K52">
        <v>12151.6</v>
      </c>
      <c r="L52">
        <v>8932.58</v>
      </c>
      <c r="M52">
        <v>3219.02</v>
      </c>
      <c r="N52" t="str">
        <f t="shared" si="3"/>
        <v>Apr</v>
      </c>
      <c r="O52">
        <f t="shared" si="4"/>
        <v>4</v>
      </c>
      <c r="P52" s="4">
        <f t="shared" si="2"/>
        <v>0.26490503308206326</v>
      </c>
    </row>
    <row r="53" spans="1:16" x14ac:dyDescent="0.35">
      <c r="A53" t="s">
        <v>64</v>
      </c>
      <c r="B53" s="2">
        <v>46139.202531645569</v>
      </c>
      <c r="C53" t="s">
        <v>143</v>
      </c>
      <c r="D53" t="s">
        <v>171</v>
      </c>
      <c r="E53" t="s">
        <v>176</v>
      </c>
      <c r="F53" t="s">
        <v>181</v>
      </c>
      <c r="G53">
        <v>4</v>
      </c>
      <c r="H53">
        <v>14101</v>
      </c>
      <c r="I53">
        <v>0</v>
      </c>
      <c r="J53" t="s">
        <v>183</v>
      </c>
      <c r="K53">
        <v>56404</v>
      </c>
      <c r="L53">
        <v>39349.35</v>
      </c>
      <c r="M53">
        <v>17054.650000000001</v>
      </c>
      <c r="N53" t="str">
        <f t="shared" si="3"/>
        <v>Apr</v>
      </c>
      <c r="O53">
        <f t="shared" si="4"/>
        <v>4</v>
      </c>
      <c r="P53" s="4">
        <f t="shared" si="2"/>
        <v>0.30236596695269841</v>
      </c>
    </row>
    <row r="54" spans="1:16" x14ac:dyDescent="0.35">
      <c r="A54" t="s">
        <v>65</v>
      </c>
      <c r="B54" s="2">
        <v>46141.481012658223</v>
      </c>
      <c r="C54" t="s">
        <v>144</v>
      </c>
      <c r="D54" t="s">
        <v>171</v>
      </c>
      <c r="E54" t="s">
        <v>176</v>
      </c>
      <c r="F54" t="s">
        <v>179</v>
      </c>
      <c r="G54">
        <v>4</v>
      </c>
      <c r="H54">
        <v>13980</v>
      </c>
      <c r="I54">
        <v>0</v>
      </c>
      <c r="J54" t="s">
        <v>183</v>
      </c>
      <c r="K54">
        <v>55920</v>
      </c>
      <c r="L54">
        <v>41864.94</v>
      </c>
      <c r="M54">
        <v>14055.06</v>
      </c>
      <c r="N54" t="str">
        <f t="shared" si="3"/>
        <v>Apr</v>
      </c>
      <c r="O54">
        <f t="shared" si="4"/>
        <v>4</v>
      </c>
      <c r="P54" s="4">
        <f t="shared" si="2"/>
        <v>0.2513422746781116</v>
      </c>
    </row>
    <row r="55" spans="1:16" x14ac:dyDescent="0.35">
      <c r="A55" t="s">
        <v>66</v>
      </c>
      <c r="B55" s="2">
        <v>46143.759493670877</v>
      </c>
      <c r="C55" t="s">
        <v>145</v>
      </c>
      <c r="D55" t="s">
        <v>172</v>
      </c>
      <c r="E55" t="s">
        <v>177</v>
      </c>
      <c r="F55" t="s">
        <v>178</v>
      </c>
      <c r="G55">
        <v>1</v>
      </c>
      <c r="H55">
        <v>3406</v>
      </c>
      <c r="I55">
        <v>15</v>
      </c>
      <c r="J55" t="s">
        <v>182</v>
      </c>
      <c r="K55">
        <v>2895.1</v>
      </c>
      <c r="L55">
        <v>2060.3000000000002</v>
      </c>
      <c r="M55">
        <v>834.8</v>
      </c>
      <c r="N55" t="str">
        <f t="shared" si="3"/>
        <v>May</v>
      </c>
      <c r="O55">
        <f t="shared" si="4"/>
        <v>5</v>
      </c>
      <c r="P55" s="4">
        <f t="shared" si="2"/>
        <v>0.28834927981762287</v>
      </c>
    </row>
    <row r="56" spans="1:16" x14ac:dyDescent="0.35">
      <c r="A56" t="s">
        <v>67</v>
      </c>
      <c r="B56" s="2">
        <v>46146.037974683539</v>
      </c>
      <c r="C56" t="s">
        <v>146</v>
      </c>
      <c r="D56" t="s">
        <v>173</v>
      </c>
      <c r="E56" t="s">
        <v>177</v>
      </c>
      <c r="F56" t="s">
        <v>178</v>
      </c>
      <c r="G56">
        <v>2</v>
      </c>
      <c r="H56">
        <v>2098</v>
      </c>
      <c r="I56">
        <v>0</v>
      </c>
      <c r="J56" t="s">
        <v>185</v>
      </c>
      <c r="K56">
        <v>4196</v>
      </c>
      <c r="L56">
        <v>3059.4</v>
      </c>
      <c r="M56">
        <v>1136.5999999999999</v>
      </c>
      <c r="N56" t="str">
        <f t="shared" si="3"/>
        <v>May</v>
      </c>
      <c r="O56">
        <f t="shared" si="4"/>
        <v>5</v>
      </c>
      <c r="P56" s="4">
        <f t="shared" si="2"/>
        <v>0.27087702573879885</v>
      </c>
    </row>
    <row r="57" spans="1:16" x14ac:dyDescent="0.35">
      <c r="A57" t="s">
        <v>68</v>
      </c>
      <c r="B57" s="2">
        <v>46148.316455696193</v>
      </c>
      <c r="C57" t="s">
        <v>147</v>
      </c>
      <c r="D57" t="s">
        <v>175</v>
      </c>
      <c r="E57" t="s">
        <v>176</v>
      </c>
      <c r="F57" t="s">
        <v>181</v>
      </c>
      <c r="G57">
        <v>1</v>
      </c>
      <c r="H57">
        <v>55499</v>
      </c>
      <c r="I57">
        <v>15</v>
      </c>
      <c r="J57" t="s">
        <v>185</v>
      </c>
      <c r="K57">
        <v>47174.15</v>
      </c>
      <c r="L57">
        <v>38130.53</v>
      </c>
      <c r="M57">
        <v>9043.6200000000008</v>
      </c>
      <c r="N57" t="str">
        <f t="shared" si="3"/>
        <v>May</v>
      </c>
      <c r="O57">
        <f t="shared" si="4"/>
        <v>5</v>
      </c>
      <c r="P57" s="4">
        <f t="shared" si="2"/>
        <v>0.19170711077995048</v>
      </c>
    </row>
    <row r="58" spans="1:16" x14ac:dyDescent="0.35">
      <c r="A58" t="s">
        <v>69</v>
      </c>
      <c r="B58" s="2">
        <v>46150.594936708847</v>
      </c>
      <c r="C58" t="s">
        <v>148</v>
      </c>
      <c r="D58" t="s">
        <v>171</v>
      </c>
      <c r="E58" t="s">
        <v>176</v>
      </c>
      <c r="F58" t="s">
        <v>179</v>
      </c>
      <c r="G58">
        <v>4</v>
      </c>
      <c r="H58">
        <v>13915</v>
      </c>
      <c r="I58">
        <v>15</v>
      </c>
      <c r="J58" t="s">
        <v>184</v>
      </c>
      <c r="K58">
        <v>47311</v>
      </c>
      <c r="L58">
        <v>32986.199999999997</v>
      </c>
      <c r="M58">
        <v>14324.8</v>
      </c>
      <c r="N58" t="str">
        <f t="shared" si="3"/>
        <v>May</v>
      </c>
      <c r="O58">
        <f t="shared" si="4"/>
        <v>5</v>
      </c>
      <c r="P58" s="4">
        <f t="shared" si="2"/>
        <v>0.30277948045908981</v>
      </c>
    </row>
    <row r="59" spans="1:16" x14ac:dyDescent="0.35">
      <c r="A59" t="s">
        <v>70</v>
      </c>
      <c r="B59" s="2">
        <v>46152.873417721523</v>
      </c>
      <c r="C59" t="s">
        <v>149</v>
      </c>
      <c r="D59" t="s">
        <v>174</v>
      </c>
      <c r="E59" t="s">
        <v>177</v>
      </c>
      <c r="F59" t="s">
        <v>179</v>
      </c>
      <c r="G59">
        <v>5</v>
      </c>
      <c r="H59">
        <v>1190</v>
      </c>
      <c r="I59">
        <v>15</v>
      </c>
      <c r="J59" t="s">
        <v>182</v>
      </c>
      <c r="K59">
        <v>5057.5</v>
      </c>
      <c r="L59">
        <v>4107.8900000000003</v>
      </c>
      <c r="M59">
        <v>949.61</v>
      </c>
      <c r="N59" t="str">
        <f t="shared" si="3"/>
        <v>May</v>
      </c>
      <c r="O59">
        <f t="shared" si="4"/>
        <v>5</v>
      </c>
      <c r="P59" s="4">
        <f t="shared" si="2"/>
        <v>0.1877627286208601</v>
      </c>
    </row>
    <row r="60" spans="1:16" x14ac:dyDescent="0.35">
      <c r="A60" t="s">
        <v>71</v>
      </c>
      <c r="B60" s="2">
        <v>46155.15189873417</v>
      </c>
      <c r="C60" t="s">
        <v>150</v>
      </c>
      <c r="D60" t="s">
        <v>171</v>
      </c>
      <c r="E60" t="s">
        <v>176</v>
      </c>
      <c r="F60" t="s">
        <v>181</v>
      </c>
      <c r="G60">
        <v>5</v>
      </c>
      <c r="H60">
        <v>14052</v>
      </c>
      <c r="I60">
        <v>0</v>
      </c>
      <c r="J60" t="s">
        <v>182</v>
      </c>
      <c r="K60">
        <v>70260</v>
      </c>
      <c r="L60">
        <v>56283.19</v>
      </c>
      <c r="M60">
        <v>13976.81</v>
      </c>
      <c r="N60" t="str">
        <f t="shared" si="3"/>
        <v>May</v>
      </c>
      <c r="O60">
        <f t="shared" si="4"/>
        <v>5</v>
      </c>
      <c r="P60" s="4">
        <f t="shared" si="2"/>
        <v>0.19892983205237688</v>
      </c>
    </row>
    <row r="61" spans="1:16" x14ac:dyDescent="0.35">
      <c r="A61" t="s">
        <v>72</v>
      </c>
      <c r="B61" s="2">
        <v>46157.430379746831</v>
      </c>
      <c r="C61" t="s">
        <v>151</v>
      </c>
      <c r="D61" t="s">
        <v>174</v>
      </c>
      <c r="E61" t="s">
        <v>177</v>
      </c>
      <c r="F61" t="s">
        <v>179</v>
      </c>
      <c r="G61">
        <v>3</v>
      </c>
      <c r="H61">
        <v>1160</v>
      </c>
      <c r="I61">
        <v>10</v>
      </c>
      <c r="J61" t="s">
        <v>185</v>
      </c>
      <c r="K61">
        <v>3132</v>
      </c>
      <c r="L61">
        <v>2064.48</v>
      </c>
      <c r="M61">
        <v>1067.52</v>
      </c>
      <c r="N61" t="str">
        <f t="shared" si="3"/>
        <v>May</v>
      </c>
      <c r="O61">
        <f t="shared" si="4"/>
        <v>5</v>
      </c>
      <c r="P61" s="4">
        <f t="shared" si="2"/>
        <v>0.34084291187739463</v>
      </c>
    </row>
    <row r="62" spans="1:16" x14ac:dyDescent="0.35">
      <c r="A62" t="s">
        <v>73</v>
      </c>
      <c r="B62" s="2">
        <v>46159.708860759492</v>
      </c>
      <c r="C62" t="s">
        <v>152</v>
      </c>
      <c r="D62" t="s">
        <v>174</v>
      </c>
      <c r="E62" t="s">
        <v>177</v>
      </c>
      <c r="F62" t="s">
        <v>179</v>
      </c>
      <c r="G62">
        <v>1</v>
      </c>
      <c r="H62">
        <v>1255</v>
      </c>
      <c r="I62">
        <v>15</v>
      </c>
      <c r="J62" t="s">
        <v>184</v>
      </c>
      <c r="K62">
        <v>1066.75</v>
      </c>
      <c r="L62">
        <v>676.18</v>
      </c>
      <c r="M62">
        <v>390.57</v>
      </c>
      <c r="N62" t="str">
        <f t="shared" si="3"/>
        <v>May</v>
      </c>
      <c r="O62">
        <f t="shared" si="4"/>
        <v>5</v>
      </c>
      <c r="P62" s="4">
        <f t="shared" si="2"/>
        <v>0.36613077103351299</v>
      </c>
    </row>
    <row r="63" spans="1:16" x14ac:dyDescent="0.35">
      <c r="A63" t="s">
        <v>74</v>
      </c>
      <c r="B63" s="2">
        <v>46161.987341772139</v>
      </c>
      <c r="C63" t="s">
        <v>153</v>
      </c>
      <c r="D63" t="s">
        <v>171</v>
      </c>
      <c r="E63" t="s">
        <v>176</v>
      </c>
      <c r="F63" t="s">
        <v>178</v>
      </c>
      <c r="G63">
        <v>1</v>
      </c>
      <c r="H63">
        <v>14122</v>
      </c>
      <c r="I63">
        <v>5</v>
      </c>
      <c r="J63" t="s">
        <v>184</v>
      </c>
      <c r="K63">
        <v>13415.9</v>
      </c>
      <c r="L63">
        <v>8588.26</v>
      </c>
      <c r="M63">
        <v>4827.6400000000003</v>
      </c>
      <c r="N63" t="str">
        <f t="shared" si="3"/>
        <v>May</v>
      </c>
      <c r="O63">
        <f t="shared" si="4"/>
        <v>5</v>
      </c>
      <c r="P63" s="4">
        <f t="shared" si="2"/>
        <v>0.35984466193099235</v>
      </c>
    </row>
    <row r="64" spans="1:16" x14ac:dyDescent="0.35">
      <c r="A64" t="s">
        <v>75</v>
      </c>
      <c r="B64" s="2">
        <v>46164.265822784801</v>
      </c>
      <c r="C64" t="s">
        <v>154</v>
      </c>
      <c r="D64" t="s">
        <v>172</v>
      </c>
      <c r="E64" t="s">
        <v>177</v>
      </c>
      <c r="F64" t="s">
        <v>179</v>
      </c>
      <c r="G64">
        <v>3</v>
      </c>
      <c r="H64">
        <v>2927</v>
      </c>
      <c r="I64">
        <v>0</v>
      </c>
      <c r="J64" t="s">
        <v>184</v>
      </c>
      <c r="K64">
        <v>8781</v>
      </c>
      <c r="L64">
        <v>5476.22</v>
      </c>
      <c r="M64">
        <v>3304.78</v>
      </c>
      <c r="N64" t="str">
        <f t="shared" si="3"/>
        <v>May</v>
      </c>
      <c r="O64">
        <f t="shared" si="4"/>
        <v>5</v>
      </c>
      <c r="P64" s="4">
        <f t="shared" si="2"/>
        <v>0.37635576813574767</v>
      </c>
    </row>
    <row r="65" spans="1:16" x14ac:dyDescent="0.35">
      <c r="A65" t="s">
        <v>76</v>
      </c>
      <c r="B65" s="2">
        <v>46166.544303797462</v>
      </c>
      <c r="C65" t="s">
        <v>155</v>
      </c>
      <c r="D65" t="s">
        <v>174</v>
      </c>
      <c r="E65" t="s">
        <v>177</v>
      </c>
      <c r="F65" t="s">
        <v>179</v>
      </c>
      <c r="G65">
        <v>3</v>
      </c>
      <c r="H65">
        <v>1017</v>
      </c>
      <c r="I65">
        <v>15</v>
      </c>
      <c r="J65" t="s">
        <v>183</v>
      </c>
      <c r="K65">
        <v>2593.35</v>
      </c>
      <c r="L65">
        <v>1656.86</v>
      </c>
      <c r="M65">
        <v>936.49</v>
      </c>
      <c r="N65" t="str">
        <f t="shared" si="3"/>
        <v>May</v>
      </c>
      <c r="O65">
        <f t="shared" si="4"/>
        <v>5</v>
      </c>
      <c r="P65" s="4">
        <f t="shared" si="2"/>
        <v>0.36111207511519849</v>
      </c>
    </row>
    <row r="66" spans="1:16" x14ac:dyDescent="0.35">
      <c r="A66" t="s">
        <v>77</v>
      </c>
      <c r="B66" s="2">
        <v>46168.822784810123</v>
      </c>
      <c r="C66" t="s">
        <v>156</v>
      </c>
      <c r="D66" t="s">
        <v>174</v>
      </c>
      <c r="E66" t="s">
        <v>177</v>
      </c>
      <c r="F66" t="s">
        <v>181</v>
      </c>
      <c r="G66">
        <v>3</v>
      </c>
      <c r="H66">
        <v>1565</v>
      </c>
      <c r="I66">
        <v>15</v>
      </c>
      <c r="J66" t="s">
        <v>184</v>
      </c>
      <c r="K66">
        <v>3990.75</v>
      </c>
      <c r="L66">
        <v>3019.41</v>
      </c>
      <c r="M66">
        <v>971.34</v>
      </c>
      <c r="N66" t="str">
        <f t="shared" ref="N66:N81" si="5">TEXT(B66,"mmm")</f>
        <v>May</v>
      </c>
      <c r="O66">
        <f t="shared" ref="O66:O81" si="6">MONTH(B66)</f>
        <v>5</v>
      </c>
      <c r="P66" s="4">
        <f t="shared" si="2"/>
        <v>0.24339785754557414</v>
      </c>
    </row>
    <row r="67" spans="1:16" x14ac:dyDescent="0.35">
      <c r="A67" t="s">
        <v>78</v>
      </c>
      <c r="B67" s="2">
        <v>46171.101265822777</v>
      </c>
      <c r="C67" t="s">
        <v>157</v>
      </c>
      <c r="D67" t="s">
        <v>171</v>
      </c>
      <c r="E67" t="s">
        <v>176</v>
      </c>
      <c r="F67" t="s">
        <v>181</v>
      </c>
      <c r="G67">
        <v>4</v>
      </c>
      <c r="H67">
        <v>14369</v>
      </c>
      <c r="I67">
        <v>5</v>
      </c>
      <c r="J67" t="s">
        <v>183</v>
      </c>
      <c r="K67">
        <v>54602.2</v>
      </c>
      <c r="L67">
        <v>34630.78</v>
      </c>
      <c r="M67">
        <v>19971.419999999998</v>
      </c>
      <c r="N67" t="str">
        <f t="shared" si="5"/>
        <v>May</v>
      </c>
      <c r="O67">
        <f t="shared" si="6"/>
        <v>5</v>
      </c>
      <c r="P67" s="4">
        <f t="shared" ref="P67:P81" si="7">M67/K67</f>
        <v>0.36576218540644884</v>
      </c>
    </row>
    <row r="68" spans="1:16" x14ac:dyDescent="0.35">
      <c r="A68" t="s">
        <v>79</v>
      </c>
      <c r="B68" s="2">
        <v>46173.379746835439</v>
      </c>
      <c r="C68" t="s">
        <v>158</v>
      </c>
      <c r="D68" t="s">
        <v>174</v>
      </c>
      <c r="E68" t="s">
        <v>177</v>
      </c>
      <c r="F68" t="s">
        <v>180</v>
      </c>
      <c r="G68">
        <v>1</v>
      </c>
      <c r="H68" s="5">
        <f>K68/G68/(1-10/100)</f>
        <v>1322</v>
      </c>
      <c r="I68">
        <v>10</v>
      </c>
      <c r="J68" t="s">
        <v>185</v>
      </c>
      <c r="K68">
        <v>1189.8</v>
      </c>
      <c r="L68">
        <v>813.58</v>
      </c>
      <c r="M68">
        <v>376.22</v>
      </c>
      <c r="N68" t="str">
        <f t="shared" si="5"/>
        <v>May</v>
      </c>
      <c r="O68">
        <f t="shared" si="6"/>
        <v>5</v>
      </c>
      <c r="P68" s="4">
        <f t="shared" si="7"/>
        <v>0.31620440410152972</v>
      </c>
    </row>
    <row r="69" spans="1:16" x14ac:dyDescent="0.35">
      <c r="A69" t="s">
        <v>80</v>
      </c>
      <c r="B69" s="2">
        <v>46175.658227848093</v>
      </c>
      <c r="C69" t="s">
        <v>159</v>
      </c>
      <c r="D69" t="s">
        <v>174</v>
      </c>
      <c r="E69" t="s">
        <v>177</v>
      </c>
      <c r="F69" t="s">
        <v>178</v>
      </c>
      <c r="G69">
        <v>4</v>
      </c>
      <c r="H69">
        <v>1685</v>
      </c>
      <c r="I69">
        <v>10</v>
      </c>
      <c r="J69" t="s">
        <v>183</v>
      </c>
      <c r="K69">
        <v>6066</v>
      </c>
      <c r="L69">
        <v>4785.92</v>
      </c>
      <c r="M69">
        <v>1280.08</v>
      </c>
      <c r="N69" t="str">
        <f t="shared" si="5"/>
        <v>Jun</v>
      </c>
      <c r="O69">
        <f t="shared" si="6"/>
        <v>6</v>
      </c>
      <c r="P69" s="4">
        <f t="shared" si="7"/>
        <v>0.21102538740520935</v>
      </c>
    </row>
    <row r="70" spans="1:16" x14ac:dyDescent="0.35">
      <c r="A70" t="s">
        <v>81</v>
      </c>
      <c r="B70" s="2">
        <v>46177.936708860747</v>
      </c>
      <c r="C70" t="s">
        <v>160</v>
      </c>
      <c r="D70" t="s">
        <v>171</v>
      </c>
      <c r="E70" t="s">
        <v>176</v>
      </c>
      <c r="F70" t="s">
        <v>179</v>
      </c>
      <c r="G70">
        <v>3</v>
      </c>
      <c r="H70">
        <v>14425</v>
      </c>
      <c r="I70">
        <v>10</v>
      </c>
      <c r="J70" t="s">
        <v>185</v>
      </c>
      <c r="K70">
        <v>38947.5</v>
      </c>
      <c r="L70">
        <v>24328.73</v>
      </c>
      <c r="M70">
        <v>14618.77</v>
      </c>
      <c r="N70" t="str">
        <f t="shared" si="5"/>
        <v>Jun</v>
      </c>
      <c r="O70">
        <f t="shared" si="6"/>
        <v>6</v>
      </c>
      <c r="P70" s="4">
        <f t="shared" si="7"/>
        <v>0.3753455292380769</v>
      </c>
    </row>
    <row r="71" spans="1:16" x14ac:dyDescent="0.35">
      <c r="A71" t="s">
        <v>82</v>
      </c>
      <c r="B71" s="2">
        <v>46180.215189873423</v>
      </c>
      <c r="C71" t="s">
        <v>161</v>
      </c>
      <c r="D71" t="s">
        <v>171</v>
      </c>
      <c r="E71" t="s">
        <v>176</v>
      </c>
      <c r="F71" t="s">
        <v>179</v>
      </c>
      <c r="G71">
        <v>1</v>
      </c>
      <c r="H71">
        <v>14087</v>
      </c>
      <c r="I71">
        <v>15</v>
      </c>
      <c r="J71" t="s">
        <v>184</v>
      </c>
      <c r="K71">
        <v>11973.95</v>
      </c>
      <c r="L71">
        <v>9374.33</v>
      </c>
      <c r="M71">
        <v>2599.62</v>
      </c>
      <c r="N71" t="str">
        <f t="shared" si="5"/>
        <v>Jun</v>
      </c>
      <c r="O71">
        <f t="shared" si="6"/>
        <v>6</v>
      </c>
      <c r="P71" s="4">
        <f t="shared" si="7"/>
        <v>0.21710630159638211</v>
      </c>
    </row>
    <row r="72" spans="1:16" x14ac:dyDescent="0.35">
      <c r="A72" t="s">
        <v>83</v>
      </c>
      <c r="B72" s="2">
        <v>46182.493670886062</v>
      </c>
      <c r="C72" t="s">
        <v>103</v>
      </c>
      <c r="D72" t="s">
        <v>175</v>
      </c>
      <c r="E72" t="s">
        <v>176</v>
      </c>
      <c r="F72" t="s">
        <v>180</v>
      </c>
      <c r="G72">
        <v>4</v>
      </c>
      <c r="H72">
        <v>55462</v>
      </c>
      <c r="I72">
        <v>15</v>
      </c>
      <c r="J72" t="s">
        <v>184</v>
      </c>
      <c r="K72">
        <v>188570.8</v>
      </c>
      <c r="L72">
        <v>127543.81</v>
      </c>
      <c r="M72">
        <v>61026.99</v>
      </c>
      <c r="N72" t="str">
        <f t="shared" si="5"/>
        <v>Jun</v>
      </c>
      <c r="O72">
        <f t="shared" si="6"/>
        <v>6</v>
      </c>
      <c r="P72" s="4">
        <f t="shared" si="7"/>
        <v>0.32362905603624742</v>
      </c>
    </row>
    <row r="73" spans="1:16" x14ac:dyDescent="0.35">
      <c r="A73" t="s">
        <v>84</v>
      </c>
      <c r="B73" s="2">
        <v>46184.772151898716</v>
      </c>
      <c r="C73" t="s">
        <v>162</v>
      </c>
      <c r="D73" t="s">
        <v>172</v>
      </c>
      <c r="E73" t="s">
        <v>177</v>
      </c>
      <c r="F73" t="s">
        <v>179</v>
      </c>
      <c r="G73">
        <v>4</v>
      </c>
      <c r="H73">
        <v>3438</v>
      </c>
      <c r="I73">
        <v>15</v>
      </c>
      <c r="J73" t="s">
        <v>185</v>
      </c>
      <c r="K73">
        <v>11689.2</v>
      </c>
      <c r="L73">
        <v>7523.55</v>
      </c>
      <c r="M73">
        <v>4165.6499999999996</v>
      </c>
      <c r="N73" t="str">
        <f t="shared" si="5"/>
        <v>Jun</v>
      </c>
      <c r="O73">
        <f t="shared" si="6"/>
        <v>6</v>
      </c>
      <c r="P73" s="4">
        <f t="shared" si="7"/>
        <v>0.35636741607637812</v>
      </c>
    </row>
    <row r="74" spans="1:16" x14ac:dyDescent="0.35">
      <c r="A74" t="s">
        <v>85</v>
      </c>
      <c r="B74" s="2">
        <v>46187.050632911392</v>
      </c>
      <c r="C74" t="s">
        <v>163</v>
      </c>
      <c r="D74" t="s">
        <v>172</v>
      </c>
      <c r="E74" t="s">
        <v>177</v>
      </c>
      <c r="F74" t="s">
        <v>178</v>
      </c>
      <c r="G74">
        <v>3</v>
      </c>
      <c r="H74">
        <v>2954</v>
      </c>
      <c r="I74">
        <v>0</v>
      </c>
      <c r="J74" t="s">
        <v>182</v>
      </c>
      <c r="K74">
        <v>8862</v>
      </c>
      <c r="L74">
        <v>6729.34</v>
      </c>
      <c r="M74">
        <v>2132.66</v>
      </c>
      <c r="N74" t="str">
        <f t="shared" si="5"/>
        <v>Jun</v>
      </c>
      <c r="O74">
        <f t="shared" si="6"/>
        <v>6</v>
      </c>
      <c r="P74" s="4">
        <f t="shared" si="7"/>
        <v>0.24065222297449784</v>
      </c>
    </row>
    <row r="75" spans="1:16" x14ac:dyDescent="0.35">
      <c r="A75" t="s">
        <v>86</v>
      </c>
      <c r="B75" s="2">
        <v>46189.329113924039</v>
      </c>
      <c r="C75" t="s">
        <v>164</v>
      </c>
      <c r="D75" t="s">
        <v>174</v>
      </c>
      <c r="E75" t="s">
        <v>177</v>
      </c>
      <c r="F75" t="s">
        <v>180</v>
      </c>
      <c r="G75">
        <v>1</v>
      </c>
      <c r="H75">
        <v>1489</v>
      </c>
      <c r="I75">
        <v>5</v>
      </c>
      <c r="J75" t="s">
        <v>185</v>
      </c>
      <c r="K75">
        <v>1414.55</v>
      </c>
      <c r="L75">
        <v>1054.96</v>
      </c>
      <c r="M75">
        <v>359.59</v>
      </c>
      <c r="N75" t="str">
        <f t="shared" si="5"/>
        <v>Jun</v>
      </c>
      <c r="O75">
        <f t="shared" si="6"/>
        <v>6</v>
      </c>
      <c r="P75" s="4">
        <f t="shared" si="7"/>
        <v>0.25420805203068114</v>
      </c>
    </row>
    <row r="76" spans="1:16" x14ac:dyDescent="0.35">
      <c r="A76" t="s">
        <v>87</v>
      </c>
      <c r="B76" s="2">
        <v>46191.6075949367</v>
      </c>
      <c r="C76" t="s">
        <v>165</v>
      </c>
      <c r="D76" t="s">
        <v>172</v>
      </c>
      <c r="E76" t="s">
        <v>177</v>
      </c>
      <c r="F76" t="s">
        <v>178</v>
      </c>
      <c r="G76">
        <v>3</v>
      </c>
      <c r="H76">
        <v>3185</v>
      </c>
      <c r="I76">
        <v>15</v>
      </c>
      <c r="J76" t="s">
        <v>182</v>
      </c>
      <c r="K76">
        <v>8121.75</v>
      </c>
      <c r="L76">
        <v>6460.81</v>
      </c>
      <c r="M76">
        <v>1660.94</v>
      </c>
      <c r="N76" t="str">
        <f t="shared" si="5"/>
        <v>Jun</v>
      </c>
      <c r="O76">
        <f t="shared" si="6"/>
        <v>6</v>
      </c>
      <c r="P76" s="4">
        <f t="shared" si="7"/>
        <v>0.20450518669006065</v>
      </c>
    </row>
    <row r="77" spans="1:16" x14ac:dyDescent="0.35">
      <c r="A77" t="s">
        <v>88</v>
      </c>
      <c r="B77" s="2">
        <v>46193.886075949362</v>
      </c>
      <c r="C77" t="s">
        <v>166</v>
      </c>
      <c r="D77" t="s">
        <v>174</v>
      </c>
      <c r="E77" t="s">
        <v>177</v>
      </c>
      <c r="F77" t="s">
        <v>180</v>
      </c>
      <c r="G77">
        <v>1</v>
      </c>
      <c r="H77">
        <v>1103</v>
      </c>
      <c r="I77">
        <v>5</v>
      </c>
      <c r="J77" t="s">
        <v>183</v>
      </c>
      <c r="K77">
        <v>1047.8499999999999</v>
      </c>
      <c r="L77">
        <v>803.72</v>
      </c>
      <c r="M77">
        <v>244.13</v>
      </c>
      <c r="N77" t="str">
        <f t="shared" si="5"/>
        <v>Jun</v>
      </c>
      <c r="O77">
        <f t="shared" si="6"/>
        <v>6</v>
      </c>
      <c r="P77" s="4">
        <f t="shared" si="7"/>
        <v>0.23298181991697287</v>
      </c>
    </row>
    <row r="78" spans="1:16" x14ac:dyDescent="0.35">
      <c r="A78" t="s">
        <v>89</v>
      </c>
      <c r="B78" s="2">
        <v>46196.164556962023</v>
      </c>
      <c r="C78" t="s">
        <v>167</v>
      </c>
      <c r="D78" t="s">
        <v>175</v>
      </c>
      <c r="E78" t="s">
        <v>176</v>
      </c>
      <c r="F78" t="s">
        <v>180</v>
      </c>
      <c r="G78">
        <v>5</v>
      </c>
      <c r="H78">
        <v>55192</v>
      </c>
      <c r="I78">
        <v>5</v>
      </c>
      <c r="J78" t="s">
        <v>183</v>
      </c>
      <c r="K78">
        <v>262162</v>
      </c>
      <c r="L78">
        <v>204668.87</v>
      </c>
      <c r="M78">
        <v>57493.13</v>
      </c>
      <c r="N78" t="str">
        <f t="shared" si="5"/>
        <v>Jun</v>
      </c>
      <c r="O78">
        <f t="shared" si="6"/>
        <v>6</v>
      </c>
      <c r="P78" s="4">
        <f t="shared" si="7"/>
        <v>0.2193038274044293</v>
      </c>
    </row>
    <row r="79" spans="1:16" x14ac:dyDescent="0.35">
      <c r="A79" t="s">
        <v>90</v>
      </c>
      <c r="B79" s="2">
        <v>46198.443037974677</v>
      </c>
      <c r="C79" t="s">
        <v>168</v>
      </c>
      <c r="D79" t="s">
        <v>171</v>
      </c>
      <c r="E79" t="s">
        <v>176</v>
      </c>
      <c r="F79" t="s">
        <v>181</v>
      </c>
      <c r="G79">
        <v>2</v>
      </c>
      <c r="H79">
        <v>14045</v>
      </c>
      <c r="I79">
        <v>10</v>
      </c>
      <c r="J79" t="s">
        <v>183</v>
      </c>
      <c r="K79">
        <v>25281</v>
      </c>
      <c r="L79">
        <v>17100.240000000002</v>
      </c>
      <c r="M79">
        <v>8180.76</v>
      </c>
      <c r="N79" t="str">
        <f t="shared" si="5"/>
        <v>Jun</v>
      </c>
      <c r="O79">
        <f t="shared" si="6"/>
        <v>6</v>
      </c>
      <c r="P79" s="4">
        <f t="shared" si="7"/>
        <v>0.32359321229381749</v>
      </c>
    </row>
    <row r="80" spans="1:16" x14ac:dyDescent="0.35">
      <c r="A80" t="s">
        <v>91</v>
      </c>
      <c r="B80" s="2">
        <v>46200.721518987339</v>
      </c>
      <c r="C80" t="s">
        <v>169</v>
      </c>
      <c r="D80" t="s">
        <v>171</v>
      </c>
      <c r="E80" t="s">
        <v>176</v>
      </c>
      <c r="F80" t="s">
        <v>178</v>
      </c>
      <c r="G80">
        <v>2</v>
      </c>
      <c r="H80">
        <v>13975</v>
      </c>
      <c r="I80">
        <v>0</v>
      </c>
      <c r="J80" t="s">
        <v>184</v>
      </c>
      <c r="K80">
        <v>27950</v>
      </c>
      <c r="L80">
        <v>18320.89</v>
      </c>
      <c r="M80">
        <v>9629.11</v>
      </c>
      <c r="N80" t="str">
        <f t="shared" si="5"/>
        <v>Jun</v>
      </c>
      <c r="O80">
        <f t="shared" si="6"/>
        <v>6</v>
      </c>
      <c r="P80" s="4">
        <f t="shared" si="7"/>
        <v>0.34451198568872987</v>
      </c>
    </row>
    <row r="81" spans="1:16" x14ac:dyDescent="0.35">
      <c r="A81" t="s">
        <v>92</v>
      </c>
      <c r="B81" s="2">
        <v>46203</v>
      </c>
      <c r="C81" t="s">
        <v>170</v>
      </c>
      <c r="D81" t="s">
        <v>171</v>
      </c>
      <c r="E81" t="s">
        <v>176</v>
      </c>
      <c r="F81" t="s">
        <v>179</v>
      </c>
      <c r="G81">
        <v>2</v>
      </c>
      <c r="H81">
        <v>13838</v>
      </c>
      <c r="I81">
        <v>15</v>
      </c>
      <c r="J81" t="s">
        <v>183</v>
      </c>
      <c r="K81">
        <v>23524.6</v>
      </c>
      <c r="L81">
        <v>18116.830000000002</v>
      </c>
      <c r="M81">
        <v>5407.77</v>
      </c>
      <c r="N81" t="str">
        <f t="shared" si="5"/>
        <v>Jun</v>
      </c>
      <c r="O81">
        <f t="shared" si="6"/>
        <v>6</v>
      </c>
      <c r="P81" s="4">
        <f t="shared" si="7"/>
        <v>0.22987723489453596</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FBF6-00C4-49EA-9141-CE98F7F256FE}">
  <dimension ref="A1:D8"/>
  <sheetViews>
    <sheetView showGridLines="0" workbookViewId="0">
      <selection activeCell="G4" sqref="G4"/>
    </sheetView>
  </sheetViews>
  <sheetFormatPr defaultRowHeight="14.5" x14ac:dyDescent="0.35"/>
  <cols>
    <col min="2" max="2" width="31.81640625" customWidth="1"/>
    <col min="3" max="3" width="22.1796875" customWidth="1"/>
    <col min="4" max="4" width="8.90625" customWidth="1"/>
  </cols>
  <sheetData>
    <row r="1" spans="1:4" ht="43.5" x14ac:dyDescent="0.35">
      <c r="A1" s="6" t="s">
        <v>191</v>
      </c>
      <c r="B1" s="6" t="s">
        <v>192</v>
      </c>
      <c r="C1" s="6" t="s">
        <v>193</v>
      </c>
      <c r="D1" s="6" t="s">
        <v>194</v>
      </c>
    </row>
    <row r="2" spans="1:4" ht="58" x14ac:dyDescent="0.35">
      <c r="A2" s="8">
        <v>1</v>
      </c>
      <c r="B2" s="7" t="s">
        <v>195</v>
      </c>
      <c r="C2" s="7" t="s">
        <v>196</v>
      </c>
      <c r="D2" s="7" t="s">
        <v>10</v>
      </c>
    </row>
    <row r="3" spans="1:4" ht="58" x14ac:dyDescent="0.35">
      <c r="A3" s="8">
        <v>2</v>
      </c>
      <c r="B3" s="7" t="s">
        <v>197</v>
      </c>
      <c r="C3" s="7" t="s">
        <v>198</v>
      </c>
      <c r="D3" s="7" t="s">
        <v>12</v>
      </c>
    </row>
    <row r="4" spans="1:4" ht="87" x14ac:dyDescent="0.35">
      <c r="A4" s="8">
        <v>3</v>
      </c>
      <c r="B4" s="7" t="s">
        <v>199</v>
      </c>
      <c r="C4" s="7" t="s">
        <v>200</v>
      </c>
      <c r="D4" s="7" t="s">
        <v>201</v>
      </c>
    </row>
    <row r="5" spans="1:4" ht="72.5" x14ac:dyDescent="0.35">
      <c r="A5" s="8">
        <v>4</v>
      </c>
      <c r="B5" s="7" t="s">
        <v>202</v>
      </c>
      <c r="C5" s="7" t="s">
        <v>198</v>
      </c>
      <c r="D5" s="7" t="s">
        <v>203</v>
      </c>
    </row>
    <row r="6" spans="1:4" ht="29" x14ac:dyDescent="0.35">
      <c r="A6" s="8">
        <v>5</v>
      </c>
      <c r="B6" s="7" t="s">
        <v>204</v>
      </c>
      <c r="C6" s="7" t="s">
        <v>200</v>
      </c>
      <c r="D6" s="7" t="s">
        <v>205</v>
      </c>
    </row>
    <row r="7" spans="1:4" ht="29" x14ac:dyDescent="0.35">
      <c r="A7" s="8">
        <v>6</v>
      </c>
      <c r="B7" s="7" t="s">
        <v>206</v>
      </c>
      <c r="C7" s="7" t="s">
        <v>198</v>
      </c>
      <c r="D7" s="7" t="s">
        <v>207</v>
      </c>
    </row>
    <row r="8" spans="1:4" ht="29" x14ac:dyDescent="0.35">
      <c r="A8" s="8">
        <v>7</v>
      </c>
      <c r="B8" s="7" t="s">
        <v>208</v>
      </c>
      <c r="C8" s="7" t="s">
        <v>209</v>
      </c>
      <c r="D8" s="7" t="s">
        <v>210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Data</vt:lpstr>
      <vt:lpstr>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2026-09-18T00:21:58Z</dcterms:created>
  <dcterms:modified xsi:type="dcterms:W3CDTF">2026-09-22T14:49:31Z</dcterms:modified>
</cp:coreProperties>
</file>